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School\EWU\Classes\CSCD 350\p1\test\excell\"/>
    </mc:Choice>
  </mc:AlternateContent>
  <bookViews>
    <workbookView xWindow="0" yWindow="0" windowWidth="21570" windowHeight="7980" activeTab="3"/>
  </bookViews>
  <sheets>
    <sheet name="Prototype Tests" sheetId="1" r:id="rId1"/>
    <sheet name="Test1" sheetId="2" r:id="rId2"/>
    <sheet name="Test2" sheetId="3" r:id="rId3"/>
    <sheet name="Test3" sheetId="4" r:id="rId4"/>
    <sheet name="Test5" sheetId="5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4" i="5" l="1"/>
  <c r="B102" i="5"/>
  <c r="C88" i="5"/>
  <c r="A95" i="5"/>
  <c r="A70" i="5"/>
  <c r="C63" i="5"/>
  <c r="A53" i="5"/>
  <c r="B46" i="5"/>
  <c r="A40" i="5"/>
  <c r="C40" i="5"/>
  <c r="A22" i="5"/>
  <c r="B13" i="5"/>
  <c r="A103" i="5"/>
  <c r="A101" i="5"/>
  <c r="B87" i="5"/>
  <c r="C93" i="5"/>
  <c r="B64" i="5"/>
  <c r="B62" i="5"/>
  <c r="A52" i="5"/>
  <c r="C48" i="5"/>
  <c r="C38" i="5"/>
  <c r="B39" i="5"/>
  <c r="B24" i="5"/>
  <c r="B12" i="5"/>
  <c r="A78" i="5"/>
  <c r="A93" i="5"/>
  <c r="A102" i="5"/>
  <c r="C72" i="5"/>
  <c r="C70" i="5"/>
  <c r="C55" i="5"/>
  <c r="B45" i="5"/>
  <c r="B29" i="5"/>
  <c r="B31" i="5"/>
  <c r="C24" i="5"/>
  <c r="A16" i="5"/>
  <c r="A102" i="4"/>
  <c r="C103" i="4"/>
  <c r="A87" i="4"/>
  <c r="A77" i="4"/>
  <c r="C46" i="4"/>
  <c r="B71" i="4"/>
  <c r="C55" i="4"/>
  <c r="A32" i="4"/>
  <c r="C32" i="4"/>
  <c r="A23" i="4"/>
  <c r="C13" i="4"/>
  <c r="B93" i="3"/>
  <c r="C96" i="3"/>
  <c r="B85" i="3"/>
  <c r="A101" i="3"/>
  <c r="B69" i="3"/>
  <c r="B64" i="3"/>
  <c r="B54" i="3"/>
  <c r="C46" i="3"/>
  <c r="A38" i="3"/>
  <c r="C100" i="5"/>
  <c r="C61" i="5"/>
  <c r="A29" i="5"/>
  <c r="A94" i="4"/>
  <c r="C96" i="4"/>
  <c r="C76" i="4"/>
  <c r="C53" i="4"/>
  <c r="A63" i="4"/>
  <c r="C64" i="4"/>
  <c r="A37" i="4"/>
  <c r="A24" i="4"/>
  <c r="A12" i="4"/>
  <c r="C77" i="3"/>
  <c r="B78" i="3"/>
  <c r="C68" i="3"/>
  <c r="B71" i="3"/>
  <c r="B45" i="3"/>
  <c r="C32" i="3"/>
  <c r="A28" i="3"/>
  <c r="B23" i="3"/>
  <c r="B94" i="2"/>
  <c r="B104" i="2"/>
  <c r="C85" i="2"/>
  <c r="C76" i="2"/>
  <c r="C63" i="2"/>
  <c r="B45" i="2"/>
  <c r="C46" i="2"/>
  <c r="C69" i="2"/>
  <c r="C79" i="5"/>
  <c r="A44" i="5"/>
  <c r="A92" i="4"/>
  <c r="B94" i="4"/>
  <c r="A78" i="4"/>
  <c r="B55" i="4"/>
  <c r="C72" i="4"/>
  <c r="B48" i="4"/>
  <c r="A29" i="4"/>
  <c r="B24" i="4"/>
  <c r="B12" i="4"/>
  <c r="B94" i="3"/>
  <c r="C86" i="3"/>
  <c r="B77" i="3"/>
  <c r="C64" i="3"/>
  <c r="C55" i="3"/>
  <c r="B28" i="3"/>
  <c r="C38" i="3"/>
  <c r="A21" i="3"/>
  <c r="C15" i="3"/>
  <c r="A95" i="2"/>
  <c r="A94" i="2"/>
  <c r="B80" i="2"/>
  <c r="C70" i="2"/>
  <c r="C64" i="2"/>
  <c r="A55" i="2"/>
  <c r="B52" i="2"/>
  <c r="A39" i="2"/>
  <c r="A31" i="2"/>
  <c r="B15" i="2"/>
  <c r="A13" i="2"/>
  <c r="A84" i="5"/>
  <c r="B61" i="5"/>
  <c r="A37" i="5"/>
  <c r="B96" i="4"/>
  <c r="B85" i="4"/>
  <c r="C78" i="4"/>
  <c r="B44" i="4"/>
  <c r="A56" i="4"/>
  <c r="A62" i="4"/>
  <c r="C40" i="4"/>
  <c r="B20" i="4"/>
  <c r="A103" i="3"/>
  <c r="A94" i="3"/>
  <c r="A96" i="5"/>
  <c r="C84" i="5"/>
  <c r="A79" i="5"/>
  <c r="C86" i="5"/>
  <c r="C60" i="5"/>
  <c r="B70" i="5"/>
  <c r="B55" i="5"/>
  <c r="A48" i="5"/>
  <c r="A28" i="5"/>
  <c r="A31" i="5"/>
  <c r="C20" i="5"/>
  <c r="B92" i="4"/>
  <c r="C94" i="5"/>
  <c r="A80" i="5"/>
  <c r="C77" i="5"/>
  <c r="B85" i="5"/>
  <c r="B72" i="5"/>
  <c r="A69" i="5"/>
  <c r="A54" i="5"/>
  <c r="B44" i="5"/>
  <c r="B36" i="5"/>
  <c r="C29" i="5"/>
  <c r="C15" i="5"/>
  <c r="C101" i="5"/>
  <c r="C96" i="5"/>
  <c r="A86" i="5"/>
  <c r="C92" i="5"/>
  <c r="A63" i="5"/>
  <c r="A60" i="5"/>
  <c r="C52" i="5"/>
  <c r="B47" i="5"/>
  <c r="B37" i="5"/>
  <c r="A38" i="5"/>
  <c r="A23" i="5"/>
  <c r="B14" i="5"/>
  <c r="C92" i="4"/>
  <c r="A88" i="4"/>
  <c r="B79" i="4"/>
  <c r="C68" i="4"/>
  <c r="B69" i="4"/>
  <c r="C61" i="4"/>
  <c r="A46" i="4"/>
  <c r="A40" i="4"/>
  <c r="B32" i="4"/>
  <c r="C22" i="4"/>
  <c r="B13" i="4"/>
  <c r="A85" i="3"/>
  <c r="A80" i="3"/>
  <c r="A77" i="3"/>
  <c r="C84" i="3"/>
  <c r="A61" i="3"/>
  <c r="C56" i="3"/>
  <c r="C47" i="3"/>
  <c r="C30" i="3"/>
  <c r="C28" i="3"/>
  <c r="B95" i="5"/>
  <c r="C71" i="5"/>
  <c r="B32" i="5"/>
  <c r="C93" i="4"/>
  <c r="B87" i="4"/>
  <c r="C79" i="4"/>
  <c r="C70" i="4"/>
  <c r="B52" i="4"/>
  <c r="A39" i="4"/>
  <c r="A38" i="4"/>
  <c r="A21" i="4"/>
  <c r="A96" i="3"/>
  <c r="C85" i="3"/>
  <c r="C95" i="3"/>
  <c r="A72" i="3"/>
  <c r="C60" i="3"/>
  <c r="B47" i="3"/>
  <c r="C40" i="3"/>
  <c r="C21" i="3"/>
  <c r="C12" i="3"/>
  <c r="C95" i="2"/>
  <c r="A96" i="2"/>
  <c r="C86" i="2"/>
  <c r="C79" i="2"/>
  <c r="C56" i="2"/>
  <c r="A44" i="2"/>
  <c r="B71" i="2"/>
  <c r="B92" i="5"/>
  <c r="C69" i="5"/>
  <c r="B30" i="5"/>
  <c r="B103" i="4"/>
  <c r="C86" i="4"/>
  <c r="A80" i="4"/>
  <c r="A48" i="4"/>
  <c r="C60" i="4"/>
  <c r="B63" i="4"/>
  <c r="A36" i="4"/>
  <c r="B21" i="4"/>
  <c r="B104" i="3"/>
  <c r="B102" i="3"/>
  <c r="A76" i="3"/>
  <c r="A64" i="3"/>
  <c r="A70" i="3"/>
  <c r="B46" i="3"/>
  <c r="B31" i="3"/>
  <c r="A36" i="3"/>
  <c r="B16" i="3"/>
  <c r="A101" i="2"/>
  <c r="A103" i="2"/>
  <c r="C84" i="2"/>
  <c r="A80" i="2"/>
  <c r="B62" i="2"/>
  <c r="C47" i="2"/>
  <c r="B44" i="2"/>
  <c r="A64" i="2"/>
  <c r="C38" i="2"/>
  <c r="C30" i="2"/>
  <c r="B24" i="2"/>
  <c r="A22" i="2"/>
  <c r="B100" i="5"/>
  <c r="C54" i="5"/>
  <c r="B22" i="5"/>
  <c r="A103" i="4"/>
  <c r="C87" i="4"/>
  <c r="A76" i="4"/>
  <c r="C63" i="4"/>
  <c r="B46" i="4"/>
  <c r="B29" i="4"/>
  <c r="C29" i="4"/>
  <c r="C16" i="4"/>
  <c r="B92" i="3"/>
  <c r="B76" i="3"/>
  <c r="C80" i="5"/>
  <c r="C95" i="5"/>
  <c r="C104" i="5"/>
  <c r="B69" i="5"/>
  <c r="B60" i="5"/>
  <c r="B53" i="5"/>
  <c r="C44" i="5"/>
  <c r="A32" i="5"/>
  <c r="A36" i="5"/>
  <c r="A21" i="5"/>
  <c r="C13" i="5"/>
  <c r="C104" i="4"/>
  <c r="B79" i="5"/>
  <c r="B94" i="5"/>
  <c r="B103" i="5"/>
  <c r="A61" i="5"/>
  <c r="A72" i="5"/>
  <c r="B52" i="5"/>
  <c r="C46" i="5"/>
  <c r="C30" i="5"/>
  <c r="C32" i="5"/>
  <c r="A20" i="5"/>
  <c r="C12" i="5"/>
  <c r="A85" i="5"/>
  <c r="B101" i="5"/>
  <c r="C85" i="5"/>
  <c r="A76" i="5"/>
  <c r="C62" i="5"/>
  <c r="A56" i="5"/>
  <c r="A47" i="5"/>
  <c r="C37" i="5"/>
  <c r="B38" i="5"/>
  <c r="C23" i="5"/>
  <c r="B16" i="5"/>
  <c r="B95" i="4"/>
  <c r="C102" i="4"/>
  <c r="B86" i="4"/>
  <c r="B77" i="4"/>
  <c r="B56" i="4"/>
  <c r="A47" i="4"/>
  <c r="A45" i="4"/>
  <c r="C52" i="4"/>
  <c r="C39" i="4"/>
  <c r="C24" i="4"/>
  <c r="B15" i="4"/>
  <c r="C101" i="3"/>
  <c r="B87" i="3"/>
  <c r="C93" i="3"/>
  <c r="A86" i="3"/>
  <c r="B61" i="3"/>
  <c r="A62" i="3"/>
  <c r="C54" i="3"/>
  <c r="A47" i="3"/>
  <c r="C39" i="3"/>
  <c r="C31" i="3"/>
  <c r="A88" i="5"/>
  <c r="A46" i="5"/>
  <c r="A12" i="5"/>
  <c r="C95" i="4"/>
  <c r="C80" i="4"/>
  <c r="B47" i="4"/>
  <c r="A68" i="4"/>
  <c r="C48" i="4"/>
  <c r="B30" i="4"/>
  <c r="A22" i="4"/>
  <c r="C14" i="4"/>
  <c r="B100" i="3"/>
  <c r="A88" i="3"/>
  <c r="B88" i="3"/>
  <c r="A68" i="3"/>
  <c r="B52" i="3"/>
  <c r="C36" i="3"/>
  <c r="A40" i="3"/>
  <c r="B20" i="3"/>
  <c r="A14" i="3"/>
  <c r="B96" i="2"/>
  <c r="B102" i="2"/>
  <c r="A86" i="2"/>
  <c r="A72" i="2"/>
  <c r="A68" i="2"/>
  <c r="A62" i="2"/>
  <c r="B53" i="2"/>
  <c r="A94" i="5"/>
  <c r="A55" i="5"/>
  <c r="C16" i="5"/>
  <c r="C94" i="4"/>
  <c r="A86" i="4"/>
  <c r="A64" i="4"/>
  <c r="C56" i="4"/>
  <c r="B61" i="4"/>
  <c r="C38" i="4"/>
  <c r="C30" i="4"/>
  <c r="A15" i="4"/>
  <c r="A84" i="3"/>
  <c r="B96" i="3"/>
  <c r="C103" i="3"/>
  <c r="A60" i="3"/>
  <c r="C52" i="3"/>
  <c r="A48" i="3"/>
  <c r="A39" i="3"/>
  <c r="A24" i="3"/>
  <c r="A12" i="3"/>
  <c r="C104" i="2"/>
  <c r="B101" i="2"/>
  <c r="A85" i="2"/>
  <c r="C87" i="5"/>
  <c r="C28" i="5"/>
  <c r="B86" i="5"/>
  <c r="A64" i="5"/>
  <c r="C39" i="5"/>
  <c r="C78" i="5"/>
  <c r="A24" i="5"/>
  <c r="B53" i="4"/>
  <c r="C48" i="3"/>
  <c r="C37" i="4"/>
  <c r="C29" i="3"/>
  <c r="A52" i="2"/>
  <c r="A20" i="4"/>
  <c r="C20" i="3"/>
  <c r="C60" i="2"/>
  <c r="A100" i="5"/>
  <c r="A70" i="4"/>
  <c r="B84" i="3"/>
  <c r="B63" i="3"/>
  <c r="B36" i="3"/>
  <c r="C93" i="2"/>
  <c r="B69" i="2"/>
  <c r="B72" i="2"/>
  <c r="C29" i="2"/>
  <c r="B96" i="5"/>
  <c r="B100" i="4"/>
  <c r="B60" i="4"/>
  <c r="B38" i="4"/>
  <c r="A104" i="5"/>
  <c r="B63" i="5"/>
  <c r="B21" i="5"/>
  <c r="C102" i="5"/>
  <c r="A62" i="5"/>
  <c r="B20" i="5"/>
  <c r="C76" i="5"/>
  <c r="B56" i="5"/>
  <c r="A13" i="5"/>
  <c r="C77" i="4"/>
  <c r="A69" i="4"/>
  <c r="A13" i="4"/>
  <c r="C69" i="3"/>
  <c r="A37" i="3"/>
  <c r="C21" i="5"/>
  <c r="A60" i="4"/>
  <c r="B16" i="4"/>
  <c r="B62" i="3"/>
  <c r="A22" i="3"/>
  <c r="B86" i="2"/>
  <c r="C61" i="2"/>
  <c r="B104" i="4"/>
  <c r="C47" i="4"/>
  <c r="C94" i="3"/>
  <c r="B55" i="3"/>
  <c r="A16" i="3"/>
  <c r="B78" i="2"/>
  <c r="C68" i="2"/>
  <c r="C48" i="2"/>
  <c r="A29" i="2"/>
  <c r="A55" i="4"/>
  <c r="C45" i="5"/>
  <c r="B93" i="4"/>
  <c r="C62" i="4"/>
  <c r="B54" i="4"/>
  <c r="B28" i="4"/>
  <c r="C80" i="3"/>
  <c r="A104" i="3"/>
  <c r="C62" i="3"/>
  <c r="A63" i="3"/>
  <c r="A45" i="3"/>
  <c r="A30" i="3"/>
  <c r="B24" i="3"/>
  <c r="A15" i="3"/>
  <c r="A104" i="2"/>
  <c r="C101" i="2"/>
  <c r="B87" i="2"/>
  <c r="C78" i="2"/>
  <c r="A61" i="2"/>
  <c r="B46" i="2"/>
  <c r="C55" i="2"/>
  <c r="C62" i="2"/>
  <c r="B37" i="2"/>
  <c r="B29" i="2"/>
  <c r="B23" i="2"/>
  <c r="A21" i="2"/>
  <c r="B71" i="5"/>
  <c r="B28" i="5"/>
  <c r="A100" i="4"/>
  <c r="A101" i="4"/>
  <c r="A79" i="4"/>
  <c r="A72" i="4"/>
  <c r="C54" i="4"/>
  <c r="B45" i="4"/>
  <c r="B39" i="4"/>
  <c r="A14" i="4"/>
  <c r="A79" i="3"/>
  <c r="A31" i="3"/>
  <c r="B92" i="2"/>
  <c r="B54" i="2"/>
  <c r="C39" i="2"/>
  <c r="B21" i="2"/>
  <c r="B95" i="3"/>
  <c r="A32" i="3"/>
  <c r="C103" i="2"/>
  <c r="B63" i="2"/>
  <c r="A36" i="2"/>
  <c r="C23" i="2"/>
  <c r="C79" i="3"/>
  <c r="B30" i="3"/>
  <c r="C92" i="2"/>
  <c r="C53" i="2"/>
  <c r="A40" i="2"/>
  <c r="B12" i="2"/>
  <c r="A87" i="3"/>
  <c r="A44" i="3"/>
  <c r="B100" i="2"/>
  <c r="A60" i="2"/>
  <c r="A38" i="2"/>
  <c r="C12" i="2"/>
  <c r="B88" i="5"/>
  <c r="C53" i="5"/>
  <c r="B15" i="5"/>
  <c r="A87" i="5"/>
  <c r="B48" i="5"/>
  <c r="A14" i="5"/>
  <c r="B84" i="5"/>
  <c r="A45" i="5"/>
  <c r="A104" i="4"/>
  <c r="A53" i="4"/>
  <c r="C31" i="4"/>
  <c r="A78" i="3"/>
  <c r="A69" i="3"/>
  <c r="B29" i="3"/>
  <c r="A96" i="4"/>
  <c r="C69" i="4"/>
  <c r="B86" i="3"/>
  <c r="C53" i="3"/>
  <c r="B12" i="3"/>
  <c r="C80" i="2"/>
  <c r="B77" i="5"/>
  <c r="B88" i="4"/>
  <c r="C36" i="4"/>
  <c r="C78" i="3"/>
  <c r="A46" i="3"/>
  <c r="A92" i="2"/>
  <c r="B79" i="2"/>
  <c r="C71" i="2"/>
  <c r="C40" i="2"/>
  <c r="C14" i="2"/>
  <c r="C23" i="4"/>
  <c r="C36" i="5"/>
  <c r="B102" i="4"/>
  <c r="C44" i="4"/>
  <c r="C71" i="4"/>
  <c r="C21" i="4"/>
  <c r="C88" i="3"/>
  <c r="A92" i="3"/>
  <c r="B68" i="3"/>
  <c r="A54" i="3"/>
  <c r="B48" i="3"/>
  <c r="B32" i="3"/>
  <c r="C23" i="3"/>
  <c r="B78" i="5"/>
  <c r="B40" i="5"/>
  <c r="A93" i="4"/>
  <c r="A77" i="5"/>
  <c r="A39" i="5"/>
  <c r="B93" i="5"/>
  <c r="A71" i="5"/>
  <c r="C31" i="5"/>
  <c r="C100" i="4"/>
  <c r="A61" i="4"/>
  <c r="B40" i="4"/>
  <c r="B103" i="3"/>
  <c r="A55" i="3"/>
  <c r="B80" i="5"/>
  <c r="A84" i="4"/>
  <c r="A30" i="4"/>
  <c r="A102" i="3"/>
  <c r="C44" i="3"/>
  <c r="B95" i="2"/>
  <c r="A47" i="2"/>
  <c r="C64" i="5"/>
  <c r="B78" i="4"/>
  <c r="A31" i="4"/>
  <c r="A93" i="3"/>
  <c r="B39" i="3"/>
  <c r="C94" i="2"/>
  <c r="B55" i="2"/>
  <c r="A70" i="2"/>
  <c r="B38" i="2"/>
  <c r="B20" i="2"/>
  <c r="B76" i="5"/>
  <c r="A15" i="5"/>
  <c r="C85" i="4"/>
  <c r="A54" i="4"/>
  <c r="B37" i="4"/>
  <c r="C12" i="4"/>
  <c r="A95" i="3"/>
  <c r="A100" i="3"/>
  <c r="C71" i="3"/>
  <c r="A56" i="3"/>
  <c r="B44" i="3"/>
  <c r="C37" i="3"/>
  <c r="C22" i="3"/>
  <c r="C16" i="3"/>
  <c r="B103" i="2"/>
  <c r="A93" i="2"/>
  <c r="A84" i="2"/>
  <c r="A78" i="2"/>
  <c r="C44" i="2"/>
  <c r="A69" i="2"/>
  <c r="A56" i="2"/>
  <c r="B39" i="2"/>
  <c r="B31" i="2"/>
  <c r="C13" i="2"/>
  <c r="A14" i="2"/>
  <c r="A92" i="5"/>
  <c r="B54" i="5"/>
  <c r="B23" i="5"/>
  <c r="C101" i="4"/>
  <c r="A85" i="4"/>
  <c r="B72" i="4"/>
  <c r="C45" i="4"/>
  <c r="A52" i="4"/>
  <c r="B36" i="4"/>
  <c r="B23" i="4"/>
  <c r="C87" i="3"/>
  <c r="B56" i="3"/>
  <c r="B13" i="3"/>
  <c r="A76" i="2"/>
  <c r="A53" i="2"/>
  <c r="C31" i="2"/>
  <c r="B79" i="3"/>
  <c r="B53" i="3"/>
  <c r="B15" i="3"/>
  <c r="B76" i="2"/>
  <c r="A46" i="2"/>
  <c r="C16" i="2"/>
  <c r="B14" i="4"/>
  <c r="C72" i="3"/>
  <c r="C24" i="3"/>
  <c r="C77" i="2"/>
  <c r="A71" i="2"/>
  <c r="A32" i="2"/>
  <c r="A23" i="2"/>
  <c r="B60" i="3"/>
  <c r="A23" i="3"/>
  <c r="A88" i="2"/>
  <c r="C72" i="2"/>
  <c r="A30" i="2"/>
  <c r="A15" i="2"/>
  <c r="C68" i="5"/>
  <c r="A68" i="5"/>
  <c r="C88" i="4"/>
  <c r="B22" i="4"/>
  <c r="B101" i="3"/>
  <c r="C56" i="5"/>
  <c r="A71" i="4"/>
  <c r="C76" i="3"/>
  <c r="C102" i="2"/>
  <c r="C22" i="5"/>
  <c r="B68" i="4"/>
  <c r="C70" i="3"/>
  <c r="B85" i="2"/>
  <c r="C45" i="2"/>
  <c r="C32" i="2"/>
  <c r="C20" i="2"/>
  <c r="B101" i="4"/>
  <c r="B80" i="4"/>
  <c r="A28" i="4"/>
  <c r="C15" i="4"/>
  <c r="B72" i="3"/>
  <c r="A53" i="3"/>
  <c r="B37" i="3"/>
  <c r="A20" i="3"/>
  <c r="B14" i="3"/>
  <c r="B88" i="2"/>
  <c r="A79" i="2"/>
  <c r="B56" i="2"/>
  <c r="C52" i="2"/>
  <c r="C37" i="2"/>
  <c r="B14" i="2"/>
  <c r="A16" i="2"/>
  <c r="C47" i="5"/>
  <c r="C14" i="5"/>
  <c r="C84" i="4"/>
  <c r="B64" i="4"/>
  <c r="B70" i="4"/>
  <c r="A100" i="2"/>
  <c r="A54" i="2"/>
  <c r="A37" i="2"/>
  <c r="B68" i="5"/>
  <c r="B76" i="4"/>
  <c r="C28" i="4"/>
  <c r="C63" i="3"/>
  <c r="C87" i="2"/>
  <c r="B32" i="2"/>
  <c r="B70" i="3"/>
  <c r="C88" i="2"/>
  <c r="C28" i="2"/>
  <c r="A71" i="3"/>
  <c r="A87" i="2"/>
  <c r="B30" i="2"/>
  <c r="C102" i="3"/>
  <c r="C100" i="2"/>
  <c r="B36" i="2"/>
  <c r="B93" i="2"/>
  <c r="B60" i="2"/>
  <c r="A28" i="2"/>
  <c r="A30" i="5"/>
  <c r="B62" i="4"/>
  <c r="C20" i="4"/>
  <c r="C45" i="3"/>
  <c r="B48" i="2"/>
  <c r="B16" i="2"/>
  <c r="B40" i="3"/>
  <c r="B70" i="2"/>
  <c r="B13" i="2"/>
  <c r="A52" i="3"/>
  <c r="B68" i="2"/>
  <c r="C15" i="2"/>
  <c r="C61" i="3"/>
  <c r="B77" i="2"/>
  <c r="B28" i="2"/>
  <c r="B80" i="3"/>
  <c r="C22" i="2"/>
  <c r="C13" i="3"/>
  <c r="A20" i="2"/>
  <c r="B84" i="2"/>
  <c r="B64" i="2"/>
  <c r="C24" i="2"/>
  <c r="A95" i="4"/>
  <c r="A44" i="4"/>
  <c r="A16" i="4"/>
  <c r="B22" i="3"/>
  <c r="A63" i="2"/>
  <c r="A12" i="2"/>
  <c r="B21" i="3"/>
  <c r="C54" i="2"/>
  <c r="A24" i="2"/>
  <c r="A29" i="3"/>
  <c r="A48" i="2"/>
  <c r="C21" i="2"/>
  <c r="B38" i="3"/>
  <c r="A45" i="2"/>
  <c r="B22" i="2"/>
  <c r="C14" i="3"/>
  <c r="A77" i="2"/>
  <c r="B47" i="2"/>
  <c r="C103" i="5"/>
  <c r="B84" i="4"/>
  <c r="B31" i="4"/>
  <c r="C104" i="3"/>
  <c r="C96" i="2"/>
  <c r="B40" i="2"/>
  <c r="C92" i="3"/>
  <c r="A102" i="2"/>
  <c r="C36" i="2"/>
  <c r="A13" i="3"/>
  <c r="C100" i="3"/>
  <c r="B61" i="2"/>
  <c r="H88" i="5"/>
  <c r="G93" i="5"/>
  <c r="K85" i="5"/>
  <c r="H46" i="5"/>
  <c r="D32" i="5"/>
  <c r="E8" i="5"/>
  <c r="G7" i="5"/>
  <c r="D80" i="4"/>
  <c r="D61" i="4"/>
  <c r="D38" i="4"/>
  <c r="E6" i="4"/>
  <c r="J8" i="4"/>
  <c r="H77" i="3"/>
  <c r="H79" i="3"/>
  <c r="G32" i="3"/>
  <c r="H13" i="3"/>
  <c r="J8" i="3"/>
  <c r="F101" i="2"/>
  <c r="D45" i="2"/>
  <c r="D40" i="2"/>
  <c r="G16" i="2"/>
  <c r="G14" i="2"/>
  <c r="H8" i="2"/>
  <c r="J7" i="2"/>
  <c r="I39" i="1"/>
  <c r="J4" i="1"/>
  <c r="F15" i="1"/>
  <c r="G36" i="1"/>
  <c r="E30" i="1"/>
  <c r="H22" i="1"/>
  <c r="G29" i="1"/>
  <c r="H7" i="1"/>
  <c r="H93" i="5"/>
  <c r="H47" i="5"/>
  <c r="D22" i="5"/>
  <c r="H6" i="5"/>
  <c r="G8" i="5"/>
  <c r="H93" i="4"/>
  <c r="H63" i="4"/>
  <c r="F56" i="4"/>
  <c r="G30" i="4"/>
  <c r="H7" i="4"/>
  <c r="I5" i="4"/>
  <c r="D96" i="3"/>
  <c r="F88" i="3"/>
  <c r="D56" i="3"/>
  <c r="J31" i="3"/>
  <c r="I6" i="3"/>
  <c r="F5" i="3"/>
  <c r="G96" i="2"/>
  <c r="F45" i="2"/>
  <c r="K55" i="2"/>
  <c r="F16" i="2"/>
  <c r="F14" i="2"/>
  <c r="H7" i="2"/>
  <c r="F5" i="2"/>
  <c r="K14" i="1"/>
  <c r="H28" i="1"/>
  <c r="I38" i="1"/>
  <c r="H14" i="1"/>
  <c r="F29" i="1"/>
  <c r="D5" i="1"/>
  <c r="G5" i="1"/>
  <c r="K93" i="5"/>
  <c r="J88" i="5"/>
  <c r="K46" i="5"/>
  <c r="F14" i="5"/>
  <c r="K6" i="5"/>
  <c r="D104" i="4"/>
  <c r="D68" i="4"/>
  <c r="D53" i="4"/>
  <c r="E30" i="4"/>
  <c r="K8" i="4"/>
  <c r="H5" i="4"/>
  <c r="H80" i="3"/>
  <c r="J45" i="3"/>
  <c r="D16" i="3"/>
  <c r="E6" i="3"/>
  <c r="D96" i="2"/>
  <c r="H53" i="2"/>
  <c r="H45" i="2"/>
  <c r="E16" i="2"/>
  <c r="E14" i="2"/>
  <c r="H6" i="2"/>
  <c r="J6" i="2"/>
  <c r="I30" i="1"/>
  <c r="E12" i="1"/>
  <c r="I5" i="1"/>
  <c r="H29" i="1"/>
  <c r="H12" i="1"/>
  <c r="I12" i="1"/>
  <c r="H20" i="1"/>
  <c r="J13" i="1"/>
  <c r="F31" i="1"/>
  <c r="F95" i="4"/>
  <c r="H54" i="4"/>
  <c r="E87" i="3"/>
  <c r="G6" i="3"/>
  <c r="H14" i="2"/>
  <c r="F14" i="1"/>
  <c r="G28" i="1"/>
  <c r="J37" i="1"/>
  <c r="H30" i="2"/>
  <c r="F29" i="2"/>
  <c r="K38" i="2"/>
  <c r="J37" i="2"/>
  <c r="E23" i="2"/>
  <c r="G63" i="2"/>
  <c r="G46" i="2"/>
  <c r="I48" i="2"/>
  <c r="E71" i="2"/>
  <c r="G54" i="2"/>
  <c r="H63" i="2"/>
  <c r="D48" i="2"/>
  <c r="E80" i="2"/>
  <c r="G80" i="2"/>
  <c r="I88" i="2"/>
  <c r="I85" i="2"/>
  <c r="E102" i="2"/>
  <c r="H101" i="2"/>
  <c r="K102" i="2"/>
  <c r="F95" i="2"/>
  <c r="K16" i="3"/>
  <c r="J23" i="3"/>
  <c r="D24" i="5"/>
  <c r="D94" i="3"/>
  <c r="H78" i="5"/>
  <c r="D87" i="5"/>
  <c r="H69" i="5"/>
  <c r="H48" i="5"/>
  <c r="D16" i="5"/>
  <c r="J5" i="5"/>
  <c r="H101" i="4"/>
  <c r="D56" i="4"/>
  <c r="I30" i="4"/>
  <c r="D31" i="4"/>
  <c r="H8" i="4"/>
  <c r="H101" i="3"/>
  <c r="J95" i="3"/>
  <c r="D64" i="3"/>
  <c r="D28" i="3"/>
  <c r="G7" i="3"/>
  <c r="H6" i="3"/>
  <c r="E101" i="2"/>
  <c r="G69" i="2"/>
  <c r="H29" i="2"/>
  <c r="K15" i="2"/>
  <c r="K13" i="2"/>
  <c r="K8" i="2"/>
  <c r="J5" i="2"/>
  <c r="J21" i="1"/>
  <c r="J30" i="1"/>
  <c r="E5" i="1"/>
  <c r="G21" i="1"/>
  <c r="H31" i="1"/>
  <c r="E28" i="1"/>
  <c r="K5" i="1"/>
  <c r="F39" i="1"/>
  <c r="E80" i="5"/>
  <c r="G47" i="5"/>
  <c r="H13" i="5"/>
  <c r="K7" i="5"/>
  <c r="E6" i="5"/>
  <c r="G56" i="4"/>
  <c r="H48" i="4"/>
  <c r="I48" i="4"/>
  <c r="J31" i="4"/>
  <c r="F5" i="4"/>
  <c r="I6" i="4"/>
  <c r="H94" i="3"/>
  <c r="G85" i="3"/>
  <c r="H45" i="3"/>
  <c r="D12" i="3"/>
  <c r="F8" i="3"/>
  <c r="H96" i="2"/>
  <c r="H85" i="2"/>
  <c r="F61" i="2"/>
  <c r="D32" i="2"/>
  <c r="J15" i="2"/>
  <c r="J13" i="2"/>
  <c r="G8" i="2"/>
  <c r="E7" i="2"/>
  <c r="D3" i="1"/>
  <c r="I6" i="1"/>
  <c r="J31" i="1"/>
  <c r="E4" i="1"/>
  <c r="I7" i="1"/>
  <c r="F21" i="1"/>
  <c r="I20" i="1"/>
  <c r="J85" i="5"/>
  <c r="K78" i="5"/>
  <c r="D37" i="5"/>
  <c r="F8" i="5"/>
  <c r="J6" i="5"/>
  <c r="D96" i="4"/>
  <c r="G53" i="4"/>
  <c r="I55" i="4"/>
  <c r="D24" i="4"/>
  <c r="E7" i="4"/>
  <c r="H6" i="4"/>
  <c r="E94" i="3"/>
  <c r="D30" i="3"/>
  <c r="H8" i="3"/>
  <c r="I7" i="3"/>
  <c r="H104" i="2"/>
  <c r="H56" i="2"/>
  <c r="G31" i="2"/>
  <c r="I15" i="2"/>
  <c r="I13" i="2"/>
  <c r="K7" i="2"/>
  <c r="K7" i="1"/>
  <c r="I22" i="1"/>
  <c r="G13" i="1"/>
  <c r="G15" i="1"/>
  <c r="G23" i="1"/>
  <c r="I36" i="1"/>
  <c r="E21" i="1"/>
  <c r="D4" i="1"/>
  <c r="J6" i="1"/>
  <c r="D88" i="4"/>
  <c r="G6" i="4"/>
  <c r="H48" i="3"/>
  <c r="K95" i="2"/>
  <c r="E6" i="2"/>
  <c r="K21" i="1"/>
  <c r="J39" i="1"/>
  <c r="F6" i="1"/>
  <c r="H6" i="1"/>
  <c r="G29" i="2"/>
  <c r="K40" i="2"/>
  <c r="D39" i="2"/>
  <c r="G23" i="2"/>
  <c r="E22" i="2"/>
  <c r="E61" i="2"/>
  <c r="F70" i="2"/>
  <c r="H46" i="2"/>
  <c r="J64" i="2"/>
  <c r="K53" i="2"/>
  <c r="D61" i="2"/>
  <c r="D47" i="2"/>
  <c r="G78" i="2"/>
  <c r="I78" i="2"/>
  <c r="K86" i="2"/>
  <c r="I86" i="2"/>
  <c r="F102" i="2"/>
  <c r="H94" i="2"/>
  <c r="J93" i="2"/>
  <c r="I16" i="3"/>
  <c r="D14" i="3"/>
  <c r="E24" i="3"/>
  <c r="G6" i="5"/>
  <c r="G61" i="3"/>
  <c r="D101" i="5"/>
  <c r="I94" i="5"/>
  <c r="D56" i="5"/>
  <c r="G29" i="5"/>
  <c r="H8" i="5"/>
  <c r="I6" i="5"/>
  <c r="G88" i="4"/>
  <c r="E47" i="4"/>
  <c r="H29" i="4"/>
  <c r="J5" i="4"/>
  <c r="J7" i="4"/>
  <c r="D87" i="3"/>
  <c r="D86" i="3"/>
  <c r="G46" i="3"/>
  <c r="F23" i="3"/>
  <c r="F7" i="3"/>
  <c r="J5" i="3"/>
  <c r="H64" i="2"/>
  <c r="E45" i="2"/>
  <c r="K16" i="2"/>
  <c r="K14" i="2"/>
  <c r="D12" i="2"/>
  <c r="D4" i="2"/>
  <c r="D8" i="2"/>
  <c r="J29" i="1"/>
  <c r="J36" i="1"/>
  <c r="G12" i="1"/>
  <c r="I29" i="1"/>
  <c r="D6" i="1"/>
  <c r="G7" i="1"/>
  <c r="G30" i="1"/>
  <c r="H77" i="5"/>
  <c r="D60" i="5"/>
  <c r="H37" i="5"/>
  <c r="J8" i="5"/>
  <c r="F5" i="5"/>
  <c r="E93" i="4"/>
  <c r="H62" i="4"/>
  <c r="D72" i="4"/>
  <c r="G37" i="4"/>
  <c r="H13" i="4"/>
  <c r="K7" i="4"/>
  <c r="H88" i="3"/>
  <c r="D85" i="3"/>
  <c r="H69" i="3"/>
  <c r="H40" i="3"/>
  <c r="K8" i="3"/>
  <c r="H7" i="3"/>
  <c r="D104" i="2"/>
  <c r="D77" i="2"/>
  <c r="D64" i="2"/>
  <c r="J16" i="2"/>
  <c r="J14" i="2"/>
  <c r="E8" i="2"/>
  <c r="F7" i="2"/>
  <c r="G37" i="1"/>
  <c r="F4" i="1"/>
  <c r="F12" i="1"/>
  <c r="F36" i="1"/>
  <c r="K31" i="1"/>
  <c r="I15" i="1"/>
  <c r="J22" i="1"/>
  <c r="I80" i="5"/>
  <c r="K96" i="5"/>
  <c r="D54" i="5"/>
  <c r="G21" i="5"/>
  <c r="I5" i="5"/>
  <c r="H5" i="5"/>
  <c r="G85" i="4"/>
  <c r="F54" i="4"/>
  <c r="D40" i="4"/>
  <c r="K6" i="4"/>
  <c r="E5" i="4"/>
  <c r="F85" i="3"/>
  <c r="D62" i="3"/>
  <c r="E22" i="3"/>
  <c r="G8" i="3"/>
  <c r="K6" i="3"/>
  <c r="G55" i="2"/>
  <c r="D63" i="2"/>
  <c r="I16" i="2"/>
  <c r="I14" i="2"/>
  <c r="I6" i="2"/>
  <c r="J8" i="2"/>
  <c r="J9" i="2" s="1"/>
  <c r="H5" i="2"/>
  <c r="K20" i="1"/>
  <c r="I31" i="1"/>
  <c r="F7" i="1"/>
  <c r="F13" i="1"/>
  <c r="G31" i="1"/>
  <c r="G32" i="1" s="1"/>
  <c r="G38" i="1"/>
  <c r="K39" i="1"/>
  <c r="G4" i="1"/>
  <c r="I8" i="5"/>
  <c r="H45" i="4"/>
  <c r="H78" i="3"/>
  <c r="J7" i="3"/>
  <c r="H16" i="2"/>
  <c r="D5" i="2"/>
  <c r="K13" i="1"/>
  <c r="I23" i="1"/>
  <c r="J5" i="1"/>
  <c r="J32" i="2"/>
  <c r="E30" i="2"/>
  <c r="I40" i="2"/>
  <c r="F38" i="2"/>
  <c r="F24" i="2"/>
  <c r="J21" i="2"/>
  <c r="E69" i="2"/>
  <c r="I55" i="2"/>
  <c r="I70" i="2"/>
  <c r="D56" i="2"/>
  <c r="H70" i="2"/>
  <c r="D53" i="2"/>
  <c r="E47" i="2"/>
  <c r="F77" i="2"/>
  <c r="K77" i="2"/>
  <c r="F86" i="2"/>
  <c r="K96" i="2"/>
  <c r="D103" i="2"/>
  <c r="G101" i="2"/>
  <c r="J95" i="2"/>
  <c r="F13" i="3"/>
  <c r="F14" i="3"/>
  <c r="E87" i="5"/>
  <c r="F7" i="4"/>
  <c r="H5" i="3"/>
  <c r="D61" i="5"/>
  <c r="I94" i="4"/>
  <c r="F6" i="4"/>
  <c r="H21" i="3"/>
  <c r="D55" i="2"/>
  <c r="K6" i="2"/>
  <c r="H38" i="1"/>
  <c r="H5" i="1"/>
  <c r="J14" i="5"/>
  <c r="E54" i="4"/>
  <c r="I7" i="4"/>
  <c r="J6" i="3"/>
  <c r="D72" i="2"/>
  <c r="G6" i="2"/>
  <c r="J7" i="1"/>
  <c r="E31" i="1"/>
  <c r="K5" i="5"/>
  <c r="H47" i="4"/>
  <c r="D69" i="3"/>
  <c r="G88" i="2"/>
  <c r="E13" i="2"/>
  <c r="E38" i="1"/>
  <c r="G14" i="1"/>
  <c r="G69" i="4"/>
  <c r="F8" i="2"/>
  <c r="J31" i="2"/>
  <c r="G21" i="2"/>
  <c r="K72" i="2"/>
  <c r="F46" i="2"/>
  <c r="E87" i="2"/>
  <c r="K14" i="3"/>
  <c r="H30" i="3"/>
  <c r="D14" i="2"/>
  <c r="H37" i="1"/>
  <c r="H4" i="1"/>
  <c r="J20" i="1"/>
  <c r="F23" i="1"/>
  <c r="D30" i="2"/>
  <c r="J29" i="2"/>
  <c r="G37" i="2"/>
  <c r="D36" i="2"/>
  <c r="I23" i="2"/>
  <c r="K63" i="2"/>
  <c r="H72" i="2"/>
  <c r="E48" i="2"/>
  <c r="E63" i="2"/>
  <c r="K54" i="2"/>
  <c r="G61" i="2"/>
  <c r="K47" i="2"/>
  <c r="I80" i="2"/>
  <c r="K80" i="2"/>
  <c r="H87" i="2"/>
  <c r="F85" i="2"/>
  <c r="I102" i="2"/>
  <c r="E96" i="2"/>
  <c r="D48" i="5"/>
  <c r="F55" i="4"/>
  <c r="G93" i="3"/>
  <c r="E5" i="3"/>
  <c r="H22" i="2"/>
  <c r="I7" i="2"/>
  <c r="E36" i="1"/>
  <c r="K12" i="1"/>
  <c r="H7" i="5"/>
  <c r="J40" i="4"/>
  <c r="D80" i="3"/>
  <c r="K5" i="3"/>
  <c r="H21" i="2"/>
  <c r="D7" i="2"/>
  <c r="J23" i="1"/>
  <c r="D80" i="5"/>
  <c r="J7" i="5"/>
  <c r="D16" i="4"/>
  <c r="I30" i="3"/>
  <c r="D68" i="2"/>
  <c r="K5" i="2"/>
  <c r="H21" i="1"/>
  <c r="D7" i="1"/>
  <c r="G8" i="4"/>
  <c r="E15" i="1"/>
  <c r="D31" i="2"/>
  <c r="D21" i="2"/>
  <c r="J61" i="2"/>
  <c r="F78" i="2"/>
  <c r="E103" i="2"/>
  <c r="G15" i="3"/>
  <c r="D93" i="2"/>
  <c r="D6" i="2"/>
  <c r="E37" i="1"/>
  <c r="I13" i="1"/>
  <c r="E14" i="1"/>
  <c r="G32" i="2"/>
  <c r="K29" i="2"/>
  <c r="F39" i="2"/>
  <c r="G39" i="2"/>
  <c r="K23" i="2"/>
  <c r="I22" i="2"/>
  <c r="I61" i="2"/>
  <c r="J70" i="2"/>
  <c r="G45" i="2"/>
  <c r="E64" i="2"/>
  <c r="J72" i="2"/>
  <c r="G62" i="2"/>
  <c r="J46" i="2"/>
  <c r="K78" i="2"/>
  <c r="F79" i="2"/>
  <c r="G85" i="2"/>
  <c r="F87" i="2"/>
  <c r="J102" i="2"/>
  <c r="G94" i="2"/>
  <c r="I94" i="2"/>
  <c r="H15" i="3"/>
  <c r="G103" i="5"/>
  <c r="H45" i="5"/>
  <c r="F93" i="4"/>
  <c r="K5" i="4"/>
  <c r="F45" i="3"/>
  <c r="E7" i="3"/>
  <c r="H37" i="2"/>
  <c r="I8" i="2"/>
  <c r="I4" i="1"/>
  <c r="I37" i="1"/>
  <c r="I21" i="1"/>
  <c r="K32" i="2"/>
  <c r="K31" i="2"/>
  <c r="J39" i="2"/>
  <c r="K39" i="2"/>
  <c r="G22" i="2"/>
  <c r="F22" i="2"/>
  <c r="G56" i="2"/>
  <c r="K64" i="2"/>
  <c r="K45" i="2"/>
  <c r="I64" i="2"/>
  <c r="F72" i="2"/>
  <c r="I53" i="2"/>
  <c r="E46" i="2"/>
  <c r="G79" i="2"/>
  <c r="J79" i="2"/>
  <c r="K85" i="2"/>
  <c r="J87" i="2"/>
  <c r="F96" i="2"/>
  <c r="K94" i="2"/>
  <c r="D15" i="5"/>
  <c r="H86" i="4"/>
  <c r="I8" i="4"/>
  <c r="I8" i="3"/>
  <c r="D15" i="2"/>
  <c r="H36" i="1"/>
  <c r="E7" i="1"/>
  <c r="K38" i="1"/>
  <c r="F32" i="2"/>
  <c r="D29" i="2"/>
  <c r="E40" i="2"/>
  <c r="I38" i="2"/>
  <c r="I24" i="2"/>
  <c r="F21" i="2"/>
  <c r="J48" i="2"/>
  <c r="F63" i="2"/>
  <c r="E70" i="2"/>
  <c r="I56" i="2"/>
  <c r="H69" i="2"/>
  <c r="J54" i="2"/>
  <c r="D46" i="2"/>
  <c r="I77" i="2"/>
  <c r="G77" i="2"/>
  <c r="K87" i="2"/>
  <c r="J101" i="2"/>
  <c r="J104" i="2"/>
  <c r="H103" i="2"/>
  <c r="G103" i="2"/>
  <c r="I13" i="3"/>
  <c r="K13" i="3"/>
  <c r="I23" i="3"/>
  <c r="H24" i="3"/>
  <c r="J38" i="3"/>
  <c r="D37" i="3"/>
  <c r="H31" i="3"/>
  <c r="K47" i="3"/>
  <c r="D45" i="3"/>
  <c r="J102" i="5"/>
  <c r="K8" i="5"/>
  <c r="E8" i="4"/>
  <c r="H53" i="3"/>
  <c r="H77" i="2"/>
  <c r="G13" i="2"/>
  <c r="J12" i="1"/>
  <c r="H23" i="1"/>
  <c r="D28" i="5"/>
  <c r="H46" i="4"/>
  <c r="F8" i="4"/>
  <c r="G31" i="3"/>
  <c r="D85" i="2"/>
  <c r="F13" i="2"/>
  <c r="F30" i="1"/>
  <c r="E22" i="1"/>
  <c r="D30" i="5"/>
  <c r="J61" i="4"/>
  <c r="K93" i="3"/>
  <c r="G5" i="3"/>
  <c r="E15" i="2"/>
  <c r="J38" i="1"/>
  <c r="E39" i="1"/>
  <c r="F95" i="5"/>
  <c r="J45" i="2"/>
  <c r="H30" i="1"/>
  <c r="H32" i="1" s="1"/>
  <c r="J38" i="2"/>
  <c r="I62" i="2"/>
  <c r="F53" i="2"/>
  <c r="D87" i="2"/>
  <c r="E94" i="2"/>
  <c r="E32" i="4"/>
  <c r="D16" i="2"/>
  <c r="G20" i="1"/>
  <c r="F38" i="1"/>
  <c r="K4" i="1"/>
  <c r="F5" i="1"/>
  <c r="E32" i="2"/>
  <c r="I30" i="2"/>
  <c r="H39" i="2"/>
  <c r="E37" i="2"/>
  <c r="J24" i="2"/>
  <c r="D20" i="2"/>
  <c r="F69" i="2"/>
  <c r="F56" i="2"/>
  <c r="F71" i="2"/>
  <c r="H55" i="2"/>
  <c r="K69" i="2"/>
  <c r="E54" i="2"/>
  <c r="I47" i="2"/>
  <c r="J77" i="2"/>
  <c r="F88" i="2"/>
  <c r="J86" i="2"/>
  <c r="G95" i="2"/>
  <c r="E104" i="2"/>
  <c r="K101" i="2"/>
  <c r="D94" i="2"/>
  <c r="J13" i="3"/>
  <c r="D72" i="5"/>
  <c r="I7" i="5"/>
  <c r="H32" i="4"/>
  <c r="E80" i="3"/>
  <c r="D21" i="3"/>
  <c r="I45" i="2"/>
  <c r="H13" i="2"/>
  <c r="J15" i="1"/>
  <c r="K29" i="1"/>
  <c r="G22" i="1"/>
  <c r="I32" i="2"/>
  <c r="E29" i="2"/>
  <c r="H38" i="2"/>
  <c r="I37" i="2"/>
  <c r="D23" i="2"/>
  <c r="G70" i="2"/>
  <c r="J69" i="2"/>
  <c r="E55" i="2"/>
  <c r="J71" i="2"/>
  <c r="D54" i="2"/>
  <c r="H62" i="2"/>
  <c r="I54" i="2"/>
  <c r="F80" i="2"/>
  <c r="H80" i="2"/>
  <c r="J88" i="2"/>
  <c r="E86" i="2"/>
  <c r="G104" i="2"/>
  <c r="I104" i="2"/>
  <c r="F85" i="5"/>
  <c r="G5" i="5"/>
  <c r="E39" i="4"/>
  <c r="H16" i="3"/>
  <c r="H23" i="2"/>
  <c r="G5" i="2"/>
  <c r="K22" i="1"/>
  <c r="K28" i="1"/>
  <c r="F37" i="1"/>
  <c r="I40" i="1"/>
  <c r="K30" i="2"/>
  <c r="G40" i="2"/>
  <c r="H40" i="2"/>
  <c r="K24" i="2"/>
  <c r="D22" i="2"/>
  <c r="J62" i="2"/>
  <c r="I69" i="2"/>
  <c r="H47" i="2"/>
  <c r="F64" i="2"/>
  <c r="D52" i="2"/>
  <c r="K62" i="2"/>
  <c r="G48" i="2"/>
  <c r="H78" i="2"/>
  <c r="E78" i="2"/>
  <c r="G86" i="2"/>
  <c r="D84" i="2"/>
  <c r="J103" i="2"/>
  <c r="H95" i="2"/>
  <c r="F93" i="2"/>
  <c r="E16" i="3"/>
  <c r="H102" i="2"/>
  <c r="D13" i="3"/>
  <c r="I22" i="3"/>
  <c r="G38" i="3"/>
  <c r="E32" i="3"/>
  <c r="I40" i="3"/>
  <c r="E29" i="3"/>
  <c r="I46" i="3"/>
  <c r="K45" i="3"/>
  <c r="G53" i="3"/>
  <c r="H104" i="5"/>
  <c r="E8" i="3"/>
  <c r="I72" i="5"/>
  <c r="H93" i="2"/>
  <c r="G53" i="5"/>
  <c r="H24" i="2"/>
  <c r="D47" i="3"/>
  <c r="E72" i="2"/>
  <c r="D70" i="2"/>
  <c r="F20" i="1"/>
  <c r="D37" i="2"/>
  <c r="J63" i="2"/>
  <c r="J53" i="2"/>
  <c r="K88" i="2"/>
  <c r="I93" i="2"/>
  <c r="D94" i="5"/>
  <c r="E5" i="5"/>
  <c r="D68" i="3"/>
  <c r="D44" i="2"/>
  <c r="K36" i="1"/>
  <c r="H39" i="1"/>
  <c r="G30" i="2"/>
  <c r="K37" i="2"/>
  <c r="F23" i="2"/>
  <c r="H71" i="2"/>
  <c r="I63" i="2"/>
  <c r="K61" i="2"/>
  <c r="H79" i="2"/>
  <c r="H86" i="2"/>
  <c r="F103" i="2"/>
  <c r="D52" i="5"/>
  <c r="F29" i="4"/>
  <c r="D24" i="2"/>
  <c r="F28" i="1"/>
  <c r="J14" i="1"/>
  <c r="H32" i="2"/>
  <c r="D38" i="2"/>
  <c r="J22" i="2"/>
  <c r="G64" i="2"/>
  <c r="D60" i="2"/>
  <c r="F54" i="2"/>
  <c r="K79" i="2"/>
  <c r="H88" i="2"/>
  <c r="J96" i="2"/>
  <c r="J94" i="2"/>
  <c r="D102" i="2"/>
  <c r="J21" i="3"/>
  <c r="D39" i="3"/>
  <c r="E37" i="3"/>
  <c r="F55" i="3"/>
  <c r="J54" i="3"/>
  <c r="H70" i="3"/>
  <c r="K71" i="3"/>
  <c r="K72" i="3"/>
  <c r="H62" i="3"/>
  <c r="K80" i="3"/>
  <c r="F96" i="3"/>
  <c r="G79" i="3"/>
  <c r="H102" i="3"/>
  <c r="E86" i="3"/>
  <c r="F101" i="3"/>
  <c r="G16" i="4"/>
  <c r="H16" i="4"/>
  <c r="K24" i="4"/>
  <c r="D23" i="4"/>
  <c r="F40" i="4"/>
  <c r="F38" i="4"/>
  <c r="D32" i="4"/>
  <c r="D28" i="4"/>
  <c r="J55" i="4"/>
  <c r="J64" i="4"/>
  <c r="I45" i="4"/>
  <c r="K55" i="4"/>
  <c r="H72" i="4"/>
  <c r="D15" i="3"/>
  <c r="H23" i="3"/>
  <c r="G23" i="3"/>
  <c r="E31" i="3"/>
  <c r="I32" i="3"/>
  <c r="F30" i="3"/>
  <c r="J46" i="3"/>
  <c r="I48" i="3"/>
  <c r="E56" i="3"/>
  <c r="E54" i="3"/>
  <c r="K70" i="3"/>
  <c r="J70" i="3"/>
  <c r="E70" i="3"/>
  <c r="K61" i="3"/>
  <c r="J79" i="3"/>
  <c r="F95" i="3"/>
  <c r="D78" i="3"/>
  <c r="G102" i="3"/>
  <c r="I79" i="3"/>
  <c r="E101" i="3"/>
  <c r="F15" i="4"/>
  <c r="G15" i="4"/>
  <c r="J23" i="4"/>
  <c r="K23" i="4"/>
  <c r="K38" i="4"/>
  <c r="E37" i="4"/>
  <c r="I31" i="4"/>
  <c r="J72" i="4"/>
  <c r="J54" i="4"/>
  <c r="I64" i="4"/>
  <c r="E93" i="2"/>
  <c r="J14" i="3"/>
  <c r="F21" i="3"/>
  <c r="E38" i="3"/>
  <c r="J40" i="3"/>
  <c r="H39" i="3"/>
  <c r="D36" i="3"/>
  <c r="E47" i="3"/>
  <c r="K56" i="3"/>
  <c r="D55" i="3"/>
  <c r="G62" i="3"/>
  <c r="E61" i="3"/>
  <c r="F63" i="3"/>
  <c r="F64" i="3"/>
  <c r="F86" i="3"/>
  <c r="D102" i="3"/>
  <c r="H86" i="3"/>
  <c r="D76" i="3"/>
  <c r="F93" i="3"/>
  <c r="D101" i="3"/>
  <c r="J85" i="3"/>
  <c r="H14" i="4"/>
  <c r="I13" i="4"/>
  <c r="G22" i="4"/>
  <c r="F21" i="4"/>
  <c r="J29" i="4"/>
  <c r="F39" i="4"/>
  <c r="H31" i="4"/>
  <c r="E62" i="4"/>
  <c r="K72" i="4"/>
  <c r="K47" i="4"/>
  <c r="H55" i="4"/>
  <c r="E14" i="3"/>
  <c r="D40" i="3"/>
  <c r="K53" i="3"/>
  <c r="E63" i="3"/>
  <c r="I77" i="3"/>
  <c r="I16" i="4"/>
  <c r="E29" i="4"/>
  <c r="E69" i="4"/>
  <c r="I53" i="4"/>
  <c r="J70" i="4"/>
  <c r="G45" i="4"/>
  <c r="G78" i="4"/>
  <c r="F77" i="4"/>
  <c r="F85" i="4"/>
  <c r="I93" i="4"/>
  <c r="F96" i="4"/>
  <c r="D93" i="4"/>
  <c r="K103" i="4"/>
  <c r="I15" i="5"/>
  <c r="I13" i="5"/>
  <c r="G24" i="5"/>
  <c r="D20" i="5"/>
  <c r="K37" i="5"/>
  <c r="J37" i="5"/>
  <c r="D38" i="5"/>
  <c r="G46" i="5"/>
  <c r="I46" i="5"/>
  <c r="I53" i="5"/>
  <c r="K53" i="5"/>
  <c r="I64" i="5"/>
  <c r="J61" i="5"/>
  <c r="D68" i="5"/>
  <c r="F104" i="5"/>
  <c r="D104" i="5"/>
  <c r="D92" i="5"/>
  <c r="H86" i="5"/>
  <c r="D96" i="5"/>
  <c r="E7" i="5"/>
  <c r="G15" i="2"/>
  <c r="F6" i="5"/>
  <c r="F15" i="2"/>
  <c r="D92" i="4"/>
  <c r="I5" i="2"/>
  <c r="J28" i="1"/>
  <c r="E79" i="2"/>
  <c r="F6" i="2"/>
  <c r="E31" i="2"/>
  <c r="K21" i="2"/>
  <c r="G71" i="2"/>
  <c r="I46" i="2"/>
  <c r="I87" i="2"/>
  <c r="K103" i="2"/>
  <c r="J77" i="5"/>
  <c r="J45" i="4"/>
  <c r="H29" i="3"/>
  <c r="H15" i="2"/>
  <c r="K15" i="1"/>
  <c r="E13" i="1"/>
  <c r="J30" i="2"/>
  <c r="E38" i="2"/>
  <c r="I21" i="2"/>
  <c r="E62" i="2"/>
  <c r="E56" i="2"/>
  <c r="E53" i="2"/>
  <c r="E77" i="2"/>
  <c r="G87" i="2"/>
  <c r="F104" i="2"/>
  <c r="H16" i="5"/>
  <c r="J6" i="4"/>
  <c r="D13" i="2"/>
  <c r="K6" i="1"/>
  <c r="I29" i="2"/>
  <c r="F37" i="2"/>
  <c r="K70" i="2"/>
  <c r="J56" i="2"/>
  <c r="H54" i="2"/>
  <c r="H48" i="2"/>
  <c r="D80" i="2"/>
  <c r="E85" i="2"/>
  <c r="D100" i="2"/>
  <c r="I95" i="2"/>
  <c r="J15" i="3"/>
  <c r="K24" i="3"/>
  <c r="G30" i="3"/>
  <c r="I45" i="3"/>
  <c r="F56" i="3"/>
  <c r="E53" i="3"/>
  <c r="K69" i="3"/>
  <c r="I69" i="3"/>
  <c r="F71" i="3"/>
  <c r="H61" i="3"/>
  <c r="K101" i="3"/>
  <c r="E96" i="3"/>
  <c r="J78" i="3"/>
  <c r="H95" i="3"/>
  <c r="D79" i="3"/>
  <c r="K96" i="3"/>
  <c r="E15" i="4"/>
  <c r="D14" i="4"/>
  <c r="I23" i="4"/>
  <c r="F22" i="4"/>
  <c r="K31" i="4"/>
  <c r="F37" i="4"/>
  <c r="J32" i="4"/>
  <c r="I72" i="4"/>
  <c r="D47" i="4"/>
  <c r="H61" i="4"/>
  <c r="H69" i="4"/>
  <c r="D52" i="4"/>
  <c r="I71" i="4"/>
  <c r="I15" i="3"/>
  <c r="K21" i="3"/>
  <c r="G39" i="3"/>
  <c r="F31" i="3"/>
  <c r="G29" i="3"/>
  <c r="I29" i="3"/>
  <c r="K48" i="3"/>
  <c r="D46" i="3"/>
  <c r="G54" i="3"/>
  <c r="F53" i="3"/>
  <c r="H63" i="3"/>
  <c r="J69" i="3"/>
  <c r="D70" i="3"/>
  <c r="J104" i="3"/>
  <c r="K104" i="3"/>
  <c r="E88" i="3"/>
  <c r="E78" i="3"/>
  <c r="D93" i="3"/>
  <c r="E79" i="3"/>
  <c r="G96" i="3"/>
  <c r="F16" i="4"/>
  <c r="J14" i="4"/>
  <c r="J24" i="4"/>
  <c r="D21" i="4"/>
  <c r="F30" i="4"/>
  <c r="G40" i="4"/>
  <c r="I32" i="4"/>
  <c r="K70" i="4"/>
  <c r="I69" i="4"/>
  <c r="I56" i="4"/>
  <c r="H14" i="3"/>
  <c r="E23" i="3"/>
  <c r="D24" i="3"/>
  <c r="F38" i="3"/>
  <c r="H38" i="3"/>
  <c r="H32" i="3"/>
  <c r="G47" i="3"/>
  <c r="H46" i="3"/>
  <c r="I55" i="3"/>
  <c r="F54" i="3"/>
  <c r="H71" i="3"/>
  <c r="G71" i="3"/>
  <c r="G72" i="3"/>
  <c r="I64" i="3"/>
  <c r="G80" i="3"/>
  <c r="I95" i="3"/>
  <c r="D84" i="3"/>
  <c r="H103" i="3"/>
  <c r="I87" i="3"/>
  <c r="I101" i="3"/>
  <c r="G78" i="3"/>
  <c r="K13" i="4"/>
  <c r="G24" i="4"/>
  <c r="H24" i="4"/>
  <c r="I40" i="4"/>
  <c r="K39" i="4"/>
  <c r="K32" i="4"/>
  <c r="K29" i="4"/>
  <c r="I54" i="4"/>
  <c r="F64" i="4"/>
  <c r="E45" i="4"/>
  <c r="E55" i="4"/>
  <c r="F22" i="3"/>
  <c r="F29" i="3"/>
  <c r="F72" i="3"/>
  <c r="G87" i="3"/>
  <c r="I93" i="3"/>
  <c r="I14" i="4"/>
  <c r="E38" i="4"/>
  <c r="K54" i="4"/>
  <c r="J47" i="4"/>
  <c r="E64" i="4"/>
  <c r="G80" i="4"/>
  <c r="H80" i="4"/>
  <c r="K86" i="4"/>
  <c r="D86" i="4"/>
  <c r="F94" i="4"/>
  <c r="I103" i="4"/>
  <c r="K101" i="4"/>
  <c r="D101" i="4"/>
  <c r="I16" i="5"/>
  <c r="G22" i="5"/>
  <c r="F23" i="5"/>
  <c r="G30" i="5"/>
  <c r="K31" i="5"/>
  <c r="I30" i="5"/>
  <c r="I31" i="5"/>
  <c r="F47" i="5"/>
  <c r="D44" i="5"/>
  <c r="K56" i="5"/>
  <c r="G72" i="5"/>
  <c r="K62" i="5"/>
  <c r="G70" i="5"/>
  <c r="G64" i="5"/>
  <c r="G87" i="5"/>
  <c r="K102" i="5"/>
  <c r="K88" i="5"/>
  <c r="K104" i="5"/>
  <c r="J96" i="5"/>
  <c r="D84" i="5"/>
  <c r="J78" i="5"/>
  <c r="F70" i="3"/>
  <c r="F39" i="3"/>
  <c r="F48" i="3"/>
  <c r="F61" i="3"/>
  <c r="I103" i="3"/>
  <c r="I102" i="3"/>
  <c r="G21" i="4"/>
  <c r="D30" i="4"/>
  <c r="G62" i="4"/>
  <c r="K71" i="4"/>
  <c r="I63" i="4"/>
  <c r="I79" i="4"/>
  <c r="J78" i="4"/>
  <c r="K87" i="4"/>
  <c r="F88" i="4"/>
  <c r="K96" i="4"/>
  <c r="E96" i="4"/>
  <c r="D94" i="4"/>
  <c r="G16" i="5"/>
  <c r="D13" i="5"/>
  <c r="K23" i="5"/>
  <c r="J24" i="5"/>
  <c r="H38" i="5"/>
  <c r="K38" i="5"/>
  <c r="G40" i="5"/>
  <c r="I32" i="5"/>
  <c r="I48" i="5"/>
  <c r="H56" i="5"/>
  <c r="E55" i="5"/>
  <c r="J64" i="5"/>
  <c r="G69" i="5"/>
  <c r="J70" i="5"/>
  <c r="F63" i="5"/>
  <c r="I85" i="5"/>
  <c r="G95" i="5"/>
  <c r="I87" i="5"/>
  <c r="F103" i="5"/>
  <c r="H94" i="5"/>
  <c r="K79" i="5"/>
  <c r="H37" i="3"/>
  <c r="G70" i="3"/>
  <c r="F87" i="3"/>
  <c r="F23" i="4"/>
  <c r="E31" i="4"/>
  <c r="F47" i="4"/>
  <c r="K46" i="4"/>
  <c r="D76" i="4"/>
  <c r="J94" i="4"/>
  <c r="H103" i="4"/>
  <c r="J15" i="5"/>
  <c r="F22" i="5"/>
  <c r="F30" i="5"/>
  <c r="J31" i="5"/>
  <c r="E48" i="5"/>
  <c r="E56" i="5"/>
  <c r="H72" i="5"/>
  <c r="G94" i="5"/>
  <c r="E93" i="5"/>
  <c r="I103" i="5"/>
  <c r="D77" i="5"/>
  <c r="K23" i="3"/>
  <c r="G48" i="3"/>
  <c r="H64" i="3"/>
  <c r="G104" i="3"/>
  <c r="I80" i="3"/>
  <c r="F24" i="4"/>
  <c r="F31" i="4"/>
  <c r="D44" i="4"/>
  <c r="G48" i="4"/>
  <c r="D62" i="4"/>
  <c r="J79" i="4"/>
  <c r="K79" i="4"/>
  <c r="H87" i="4"/>
  <c r="I87" i="4"/>
  <c r="F101" i="4"/>
  <c r="E104" i="4"/>
  <c r="D95" i="4"/>
  <c r="F102" i="4"/>
  <c r="D92" i="3"/>
  <c r="H13" i="1"/>
  <c r="J77" i="3"/>
  <c r="K37" i="1"/>
  <c r="F6" i="3"/>
  <c r="F22" i="1"/>
  <c r="F55" i="2"/>
  <c r="G22" i="3"/>
  <c r="I14" i="1"/>
  <c r="I16" i="1" s="1"/>
  <c r="F40" i="2"/>
  <c r="J55" i="2"/>
  <c r="I72" i="2"/>
  <c r="I79" i="2"/>
  <c r="D92" i="2"/>
  <c r="G13" i="3"/>
  <c r="D36" i="5"/>
  <c r="H93" i="3"/>
  <c r="D95" i="2"/>
  <c r="G6" i="1"/>
  <c r="E20" i="1"/>
  <c r="I31" i="2"/>
  <c r="J40" i="2"/>
  <c r="E24" i="2"/>
  <c r="F48" i="2"/>
  <c r="K71" i="2"/>
  <c r="D69" i="2"/>
  <c r="J47" i="2"/>
  <c r="D76" i="2"/>
  <c r="I101" i="2"/>
  <c r="H101" i="5"/>
  <c r="H77" i="4"/>
  <c r="D88" i="2"/>
  <c r="E6" i="1"/>
  <c r="H15" i="1"/>
  <c r="H31" i="2"/>
  <c r="G38" i="2"/>
  <c r="J23" i="2"/>
  <c r="G47" i="2"/>
  <c r="I71" i="2"/>
  <c r="D62" i="2"/>
  <c r="J80" i="2"/>
  <c r="E88" i="2"/>
  <c r="K104" i="2"/>
  <c r="G102" i="2"/>
  <c r="G16" i="3"/>
  <c r="K22" i="3"/>
  <c r="F32" i="3"/>
  <c r="E30" i="3"/>
  <c r="K46" i="3"/>
  <c r="G55" i="3"/>
  <c r="K62" i="3"/>
  <c r="I61" i="3"/>
  <c r="J63" i="3"/>
  <c r="J64" i="3"/>
  <c r="J86" i="3"/>
  <c r="E103" i="3"/>
  <c r="G86" i="3"/>
  <c r="D104" i="3"/>
  <c r="J93" i="3"/>
  <c r="E102" i="3"/>
  <c r="K78" i="3"/>
  <c r="G14" i="4"/>
  <c r="F13" i="4"/>
  <c r="K22" i="4"/>
  <c r="J21" i="4"/>
  <c r="H40" i="4"/>
  <c r="J39" i="4"/>
  <c r="H30" i="4"/>
  <c r="E61" i="4"/>
  <c r="D71" i="4"/>
  <c r="F46" i="4"/>
  <c r="D55" i="4"/>
  <c r="D48" i="4"/>
  <c r="J16" i="3"/>
  <c r="D22" i="3"/>
  <c r="E21" i="3"/>
  <c r="J39" i="3"/>
  <c r="F40" i="3"/>
  <c r="K31" i="3"/>
  <c r="J37" i="3"/>
  <c r="J48" i="3"/>
  <c r="E55" i="3"/>
  <c r="D54" i="3"/>
  <c r="I72" i="3"/>
  <c r="J61" i="3"/>
  <c r="D72" i="3"/>
  <c r="E64" i="3"/>
  <c r="I85" i="3"/>
  <c r="E95" i="3"/>
  <c r="K85" i="3"/>
  <c r="I104" i="3"/>
  <c r="J87" i="3"/>
  <c r="J102" i="3"/>
  <c r="G77" i="3"/>
  <c r="G13" i="4"/>
  <c r="D12" i="4"/>
  <c r="K21" i="4"/>
  <c r="E40" i="4"/>
  <c r="G39" i="4"/>
  <c r="G32" i="4"/>
  <c r="G29" i="4"/>
  <c r="F61" i="4"/>
  <c r="J71" i="4"/>
  <c r="E46" i="4"/>
  <c r="K15" i="3"/>
  <c r="J22" i="3"/>
  <c r="K39" i="3"/>
  <c r="D31" i="3"/>
  <c r="K29" i="3"/>
  <c r="J29" i="3"/>
  <c r="E46" i="3"/>
  <c r="G45" i="3"/>
  <c r="K54" i="3"/>
  <c r="J53" i="3"/>
  <c r="G63" i="3"/>
  <c r="G64" i="3"/>
  <c r="E71" i="3"/>
  <c r="G94" i="3"/>
  <c r="G103" i="3"/>
  <c r="I88" i="3"/>
  <c r="I78" i="3"/>
  <c r="I94" i="3"/>
  <c r="F80" i="3"/>
  <c r="G95" i="3"/>
  <c r="J16" i="4"/>
  <c r="D13" i="4"/>
  <c r="E24" i="4"/>
  <c r="E22" i="4"/>
  <c r="J30" i="4"/>
  <c r="K40" i="4"/>
  <c r="K37" i="4"/>
  <c r="G63" i="4"/>
  <c r="F69" i="4"/>
  <c r="J56" i="4"/>
  <c r="K62" i="4"/>
  <c r="D101" i="2"/>
  <c r="E39" i="3"/>
  <c r="D44" i="3"/>
  <c r="E62" i="3"/>
  <c r="D88" i="3"/>
  <c r="G88" i="3"/>
  <c r="E21" i="4"/>
  <c r="F62" i="4"/>
  <c r="K56" i="4"/>
  <c r="G71" i="4"/>
  <c r="J63" i="4"/>
  <c r="E80" i="4"/>
  <c r="I78" i="4"/>
  <c r="D85" i="4"/>
  <c r="I88" i="4"/>
  <c r="F103" i="4"/>
  <c r="H95" i="4"/>
  <c r="D103" i="4"/>
  <c r="I14" i="5"/>
  <c r="G15" i="5"/>
  <c r="E21" i="5"/>
  <c r="I24" i="5"/>
  <c r="I29" i="5"/>
  <c r="J38" i="5"/>
  <c r="E38" i="5"/>
  <c r="H29" i="5"/>
  <c r="K45" i="5"/>
  <c r="K55" i="5"/>
  <c r="J56" i="5"/>
  <c r="F72" i="5"/>
  <c r="G63" i="5"/>
  <c r="I70" i="5"/>
  <c r="D62" i="5"/>
  <c r="F79" i="5"/>
  <c r="J94" i="5"/>
  <c r="F80" i="5"/>
  <c r="D102" i="5"/>
  <c r="I88" i="5"/>
  <c r="F78" i="5"/>
  <c r="I24" i="3"/>
  <c r="J24" i="3"/>
  <c r="G37" i="3"/>
  <c r="K55" i="3"/>
  <c r="D63" i="3"/>
  <c r="E104" i="3"/>
  <c r="K14" i="4"/>
  <c r="H39" i="4"/>
  <c r="F71" i="4"/>
  <c r="I46" i="4"/>
  <c r="F70" i="4"/>
  <c r="D45" i="4"/>
  <c r="K78" i="4"/>
  <c r="J77" i="4"/>
  <c r="J85" i="4"/>
  <c r="J93" i="4"/>
  <c r="J96" i="4"/>
  <c r="G94" i="4"/>
  <c r="G102" i="4"/>
  <c r="F16" i="5"/>
  <c r="J13" i="5"/>
  <c r="K24" i="5"/>
  <c r="H21" i="5"/>
  <c r="H32" i="5"/>
  <c r="G32" i="5"/>
  <c r="E39" i="5"/>
  <c r="G48" i="5"/>
  <c r="F46" i="5"/>
  <c r="F53" i="5"/>
  <c r="H54" i="5"/>
  <c r="H63" i="5"/>
  <c r="D71" i="5"/>
  <c r="J69" i="5"/>
  <c r="J104" i="5"/>
  <c r="H103" i="5"/>
  <c r="F93" i="5"/>
  <c r="G77" i="5"/>
  <c r="E95" i="5"/>
  <c r="G86" i="5"/>
  <c r="G24" i="3"/>
  <c r="F46" i="3"/>
  <c r="J96" i="3"/>
  <c r="K16" i="4"/>
  <c r="G38" i="4"/>
  <c r="D63" i="4"/>
  <c r="E70" i="4"/>
  <c r="G77" i="4"/>
  <c r="E85" i="4"/>
  <c r="E95" i="4"/>
  <c r="G103" i="4"/>
  <c r="G13" i="5"/>
  <c r="D23" i="5"/>
  <c r="K29" i="5"/>
  <c r="J32" i="5"/>
  <c r="J54" i="5"/>
  <c r="H62" i="5"/>
  <c r="H64" i="5"/>
  <c r="H102" i="5"/>
  <c r="D79" i="5"/>
  <c r="D93" i="5"/>
  <c r="E15" i="3"/>
  <c r="K30" i="3"/>
  <c r="H54" i="3"/>
  <c r="J71" i="3"/>
  <c r="D77" i="3"/>
  <c r="I15" i="4"/>
  <c r="K30" i="4"/>
  <c r="J48" i="4"/>
  <c r="F53" i="4"/>
  <c r="I70" i="4"/>
  <c r="G46" i="4"/>
  <c r="H78" i="4"/>
  <c r="I77" i="4"/>
  <c r="I85" i="4"/>
  <c r="H85" i="4"/>
  <c r="I95" i="4"/>
  <c r="K93" i="4"/>
  <c r="D102" i="4"/>
  <c r="E15" i="5"/>
  <c r="E13" i="5"/>
  <c r="J21" i="5"/>
  <c r="H21" i="4"/>
  <c r="I39" i="2"/>
  <c r="E21" i="2"/>
  <c r="F16" i="3"/>
  <c r="G7" i="2"/>
  <c r="G24" i="2"/>
  <c r="K48" i="2"/>
  <c r="F7" i="5"/>
  <c r="F31" i="2"/>
  <c r="G72" i="2"/>
  <c r="D86" i="2"/>
  <c r="I38" i="3"/>
  <c r="D52" i="3"/>
  <c r="K94" i="3"/>
  <c r="J94" i="3"/>
  <c r="E14" i="4"/>
  <c r="D39" i="4"/>
  <c r="G54" i="4"/>
  <c r="I14" i="3"/>
  <c r="K38" i="3"/>
  <c r="H56" i="3"/>
  <c r="I63" i="3"/>
  <c r="F77" i="3"/>
  <c r="H15" i="4"/>
  <c r="I29" i="4"/>
  <c r="G72" i="4"/>
  <c r="D23" i="3"/>
  <c r="E45" i="3"/>
  <c r="G69" i="3"/>
  <c r="G101" i="3"/>
  <c r="J80" i="3"/>
  <c r="E23" i="4"/>
  <c r="F32" i="4"/>
  <c r="H70" i="4"/>
  <c r="F62" i="3"/>
  <c r="D37" i="4"/>
  <c r="E79" i="4"/>
  <c r="G96" i="4"/>
  <c r="K14" i="5"/>
  <c r="K39" i="5"/>
  <c r="K54" i="5"/>
  <c r="F70" i="5"/>
  <c r="J87" i="5"/>
  <c r="G79" i="5"/>
  <c r="E95" i="2"/>
  <c r="J55" i="3"/>
  <c r="K86" i="3"/>
  <c r="D20" i="4"/>
  <c r="G55" i="4"/>
  <c r="K53" i="4"/>
  <c r="F78" i="4"/>
  <c r="K85" i="4"/>
  <c r="K94" i="4"/>
  <c r="F15" i="5"/>
  <c r="I21" i="5"/>
  <c r="F29" i="5"/>
  <c r="I38" i="5"/>
  <c r="J46" i="5"/>
  <c r="D55" i="5"/>
  <c r="E61" i="5"/>
  <c r="E63" i="5"/>
  <c r="E94" i="5"/>
  <c r="E103" i="5"/>
  <c r="I101" i="5"/>
  <c r="D61" i="3"/>
  <c r="G23" i="4"/>
  <c r="D70" i="4"/>
  <c r="F86" i="4"/>
  <c r="G95" i="4"/>
  <c r="E22" i="5"/>
  <c r="F39" i="5"/>
  <c r="E71" i="5"/>
  <c r="G80" i="5"/>
  <c r="I95" i="5"/>
  <c r="J32" i="3"/>
  <c r="F69" i="3"/>
  <c r="K95" i="3"/>
  <c r="G70" i="4"/>
  <c r="E71" i="4"/>
  <c r="J80" i="4"/>
  <c r="J86" i="4"/>
  <c r="K104" i="4"/>
  <c r="K95" i="4"/>
  <c r="G14" i="5"/>
  <c r="J22" i="5"/>
  <c r="K21" i="5"/>
  <c r="G37" i="5"/>
  <c r="F37" i="5"/>
  <c r="J39" i="5"/>
  <c r="K47" i="5"/>
  <c r="E46" i="5"/>
  <c r="E53" i="5"/>
  <c r="I56" i="5"/>
  <c r="E64" i="5"/>
  <c r="I61" i="5"/>
  <c r="F69" i="5"/>
  <c r="F62" i="5"/>
  <c r="I104" i="5"/>
  <c r="I93" i="5"/>
  <c r="H85" i="5"/>
  <c r="G96" i="5"/>
  <c r="H87" i="5"/>
  <c r="E78" i="5"/>
  <c r="F101" i="5"/>
  <c r="D71" i="3"/>
  <c r="F45" i="4"/>
  <c r="K64" i="4"/>
  <c r="G79" i="4"/>
  <c r="F87" i="4"/>
  <c r="J104" i="4"/>
  <c r="K16" i="5"/>
  <c r="F21" i="5"/>
  <c r="H31" i="5"/>
  <c r="I39" i="5"/>
  <c r="D45" i="5"/>
  <c r="I55" i="5"/>
  <c r="K61" i="5"/>
  <c r="D63" i="5"/>
  <c r="K95" i="5"/>
  <c r="J103" i="5"/>
  <c r="G78" i="5"/>
  <c r="K97" i="3"/>
  <c r="F25" i="4"/>
  <c r="G73" i="3"/>
  <c r="J97" i="3"/>
  <c r="H41" i="2"/>
  <c r="J73" i="2"/>
  <c r="H49" i="4"/>
  <c r="G97" i="5"/>
  <c r="G17" i="4"/>
  <c r="I33" i="2"/>
  <c r="E65" i="2"/>
  <c r="H9" i="5"/>
  <c r="E97" i="2"/>
  <c r="I17" i="4"/>
  <c r="H65" i="3"/>
  <c r="E33" i="3"/>
  <c r="I73" i="2"/>
  <c r="G17" i="2"/>
  <c r="J9" i="5"/>
  <c r="J40" i="1"/>
  <c r="J57" i="2"/>
  <c r="J41" i="2"/>
  <c r="F9" i="2"/>
  <c r="K57" i="4"/>
  <c r="E41" i="4"/>
  <c r="K89" i="2"/>
  <c r="F73" i="2"/>
  <c r="F9" i="4"/>
  <c r="I33" i="5"/>
  <c r="H33" i="4"/>
  <c r="G81" i="2"/>
  <c r="G8" i="1"/>
  <c r="I17" i="5"/>
  <c r="K65" i="2"/>
  <c r="E17" i="2"/>
  <c r="H105" i="5"/>
  <c r="H89" i="2"/>
  <c r="F32" i="1"/>
  <c r="H33" i="2"/>
  <c r="G7" i="4"/>
  <c r="J78" i="2"/>
  <c r="E29" i="1"/>
  <c r="E5" i="2"/>
  <c r="G14" i="3"/>
  <c r="K64" i="3"/>
  <c r="I22" i="4"/>
  <c r="D46" i="4"/>
  <c r="J62" i="3"/>
  <c r="H22" i="4"/>
  <c r="D32" i="3"/>
  <c r="F78" i="3"/>
  <c r="G31" i="4"/>
  <c r="G40" i="3"/>
  <c r="G87" i="4"/>
  <c r="E32" i="5"/>
  <c r="J101" i="5"/>
  <c r="K77" i="3"/>
  <c r="I80" i="4"/>
  <c r="H104" i="4"/>
  <c r="E37" i="5"/>
  <c r="J72" i="5"/>
  <c r="J80" i="5"/>
  <c r="D100" i="3"/>
  <c r="F80" i="4"/>
  <c r="J29" i="5"/>
  <c r="D100" i="5"/>
  <c r="J22" i="4"/>
  <c r="E88" i="4"/>
  <c r="I23" i="5"/>
  <c r="H40" i="5"/>
  <c r="G54" i="5"/>
  <c r="J71" i="5"/>
  <c r="E62" i="5"/>
  <c r="E102" i="5"/>
  <c r="K79" i="3"/>
  <c r="K88" i="4"/>
  <c r="G101" i="4"/>
  <c r="D21" i="5"/>
  <c r="H55" i="5"/>
  <c r="K71" i="5"/>
  <c r="F89" i="3"/>
  <c r="I105" i="3"/>
  <c r="F24" i="1"/>
  <c r="H24" i="1"/>
  <c r="G57" i="4"/>
  <c r="H17" i="3"/>
  <c r="K49" i="3"/>
  <c r="I41" i="2"/>
  <c r="E73" i="2"/>
  <c r="G33" i="4"/>
  <c r="K23" i="1"/>
  <c r="K93" i="2"/>
  <c r="H61" i="2"/>
  <c r="H61" i="5"/>
  <c r="F16" i="1"/>
  <c r="F62" i="2"/>
  <c r="D79" i="2"/>
  <c r="I5" i="3"/>
  <c r="E39" i="2"/>
  <c r="D71" i="2"/>
  <c r="G93" i="2"/>
  <c r="G97" i="2" s="1"/>
  <c r="K37" i="3"/>
  <c r="K63" i="3"/>
  <c r="D103" i="3"/>
  <c r="K103" i="3"/>
  <c r="I24" i="4"/>
  <c r="H38" i="4"/>
  <c r="G61" i="4"/>
  <c r="I21" i="3"/>
  <c r="F37" i="3"/>
  <c r="J72" i="3"/>
  <c r="J73" i="3" s="1"/>
  <c r="K87" i="3"/>
  <c r="E93" i="3"/>
  <c r="E97" i="3" s="1"/>
  <c r="E13" i="4"/>
  <c r="I38" i="4"/>
  <c r="G47" i="4"/>
  <c r="I31" i="3"/>
  <c r="D48" i="3"/>
  <c r="E69" i="3"/>
  <c r="D95" i="3"/>
  <c r="J101" i="3"/>
  <c r="D22" i="4"/>
  <c r="E72" i="4"/>
  <c r="J53" i="4"/>
  <c r="F103" i="3"/>
  <c r="K69" i="4"/>
  <c r="D78" i="4"/>
  <c r="I104" i="4"/>
  <c r="G23" i="5"/>
  <c r="D40" i="5"/>
  <c r="J55" i="5"/>
  <c r="I62" i="5"/>
  <c r="I102" i="5"/>
  <c r="D76" i="5"/>
  <c r="D20" i="3"/>
  <c r="E72" i="3"/>
  <c r="I86" i="3"/>
  <c r="I39" i="4"/>
  <c r="K48" i="4"/>
  <c r="K80" i="4"/>
  <c r="H88" i="4"/>
  <c r="I101" i="4"/>
  <c r="D100" i="4"/>
  <c r="H15" i="5"/>
  <c r="J23" i="5"/>
  <c r="E29" i="5"/>
  <c r="F32" i="5"/>
  <c r="E45" i="5"/>
  <c r="K72" i="5"/>
  <c r="D70" i="5"/>
  <c r="K87" i="5"/>
  <c r="E86" i="5"/>
  <c r="J95" i="5"/>
  <c r="D38" i="3"/>
  <c r="K102" i="3"/>
  <c r="J38" i="4"/>
  <c r="I62" i="4"/>
  <c r="D87" i="4"/>
  <c r="I102" i="4"/>
  <c r="F40" i="5"/>
  <c r="K48" i="5"/>
  <c r="K69" i="5"/>
  <c r="K101" i="5"/>
  <c r="K86" i="5"/>
  <c r="J30" i="3"/>
  <c r="F104" i="3"/>
  <c r="F14" i="4"/>
  <c r="F17" i="4" s="1"/>
  <c r="E56" i="4"/>
  <c r="H64" i="4"/>
  <c r="K77" i="4"/>
  <c r="J87" i="4"/>
  <c r="E103" i="4"/>
  <c r="J101" i="4"/>
  <c r="K13" i="5"/>
  <c r="I22" i="5"/>
  <c r="J40" i="5"/>
  <c r="G31" i="5"/>
  <c r="G33" i="5" s="1"/>
  <c r="E30" i="5"/>
  <c r="E31" i="5"/>
  <c r="D47" i="5"/>
  <c r="J45" i="5"/>
  <c r="G56" i="5"/>
  <c r="H53" i="5"/>
  <c r="G62" i="5"/>
  <c r="G71" i="5"/>
  <c r="D64" i="5"/>
  <c r="K94" i="5"/>
  <c r="K97" i="5" s="1"/>
  <c r="G102" i="5"/>
  <c r="G88" i="5"/>
  <c r="G104" i="5"/>
  <c r="F96" i="5"/>
  <c r="D85" i="5"/>
  <c r="F77" i="5"/>
  <c r="E77" i="5"/>
  <c r="F79" i="3"/>
  <c r="E53" i="4"/>
  <c r="H53" i="4"/>
  <c r="E77" i="4"/>
  <c r="D84" i="4"/>
  <c r="G93" i="4"/>
  <c r="G97" i="4" s="1"/>
  <c r="J16" i="5"/>
  <c r="E23" i="5"/>
  <c r="G38" i="5"/>
  <c r="H30" i="5"/>
  <c r="I45" i="5"/>
  <c r="D53" i="5"/>
  <c r="F61" i="5"/>
  <c r="I63" i="5"/>
  <c r="J93" i="5"/>
  <c r="D95" i="5"/>
  <c r="I77" i="5"/>
  <c r="K97" i="4"/>
  <c r="E73" i="4"/>
  <c r="J81" i="4"/>
  <c r="J105" i="5"/>
  <c r="G17" i="5"/>
  <c r="I57" i="4"/>
  <c r="G81" i="3"/>
  <c r="J33" i="3"/>
  <c r="I17" i="3"/>
  <c r="J105" i="2"/>
  <c r="F40" i="1"/>
  <c r="I57" i="2"/>
  <c r="K9" i="4"/>
  <c r="E49" i="2"/>
  <c r="J32" i="1"/>
  <c r="J9" i="4"/>
  <c r="H89" i="4"/>
  <c r="K25" i="3"/>
  <c r="H41" i="3"/>
  <c r="F73" i="3"/>
  <c r="E41" i="2"/>
  <c r="F17" i="2"/>
  <c r="K89" i="5"/>
  <c r="E25" i="4"/>
  <c r="K73" i="3"/>
  <c r="K57" i="5"/>
  <c r="I65" i="2"/>
  <c r="F41" i="4"/>
  <c r="E33" i="2"/>
  <c r="J49" i="2"/>
  <c r="J97" i="5"/>
  <c r="K46" i="2"/>
  <c r="J88" i="3"/>
  <c r="K40" i="3"/>
  <c r="F102" i="3"/>
  <c r="F15" i="3"/>
  <c r="I70" i="3"/>
  <c r="F48" i="4"/>
  <c r="F49" i="4" s="1"/>
  <c r="H71" i="4"/>
  <c r="F24" i="5"/>
  <c r="E85" i="5"/>
  <c r="H72" i="3"/>
  <c r="I61" i="4"/>
  <c r="I65" i="4" s="1"/>
  <c r="J103" i="4"/>
  <c r="H22" i="5"/>
  <c r="F48" i="5"/>
  <c r="E69" i="5"/>
  <c r="K32" i="3"/>
  <c r="H14" i="5"/>
  <c r="D69" i="5"/>
  <c r="H47" i="3"/>
  <c r="H49" i="3" s="1"/>
  <c r="H56" i="4"/>
  <c r="H57" i="4" s="1"/>
  <c r="E78" i="4"/>
  <c r="F13" i="5"/>
  <c r="I40" i="5"/>
  <c r="D31" i="5"/>
  <c r="F55" i="5"/>
  <c r="K70" i="5"/>
  <c r="K73" i="5" s="1"/>
  <c r="F87" i="5"/>
  <c r="H79" i="5"/>
  <c r="E101" i="5"/>
  <c r="E48" i="4"/>
  <c r="D14" i="5"/>
  <c r="J48" i="5"/>
  <c r="E79" i="5"/>
  <c r="K81" i="4"/>
  <c r="K73" i="4"/>
  <c r="E65" i="3"/>
  <c r="G49" i="2"/>
  <c r="F89" i="2"/>
  <c r="F9" i="3"/>
  <c r="F57" i="3"/>
  <c r="E9" i="2"/>
  <c r="F8" i="1"/>
  <c r="H9" i="3"/>
  <c r="I105" i="5"/>
  <c r="G73" i="5"/>
  <c r="J81" i="3"/>
  <c r="E23" i="1"/>
  <c r="E24" i="1" s="1"/>
  <c r="G39" i="1"/>
  <c r="G40" i="1" s="1"/>
  <c r="F30" i="2"/>
  <c r="I103" i="2"/>
  <c r="K7" i="3"/>
  <c r="D28" i="2"/>
  <c r="G53" i="2"/>
  <c r="G57" i="2" s="1"/>
  <c r="I96" i="2"/>
  <c r="I28" i="1"/>
  <c r="K56" i="2"/>
  <c r="D78" i="2"/>
  <c r="F24" i="3"/>
  <c r="F25" i="3" s="1"/>
  <c r="H55" i="3"/>
  <c r="I71" i="3"/>
  <c r="I73" i="3" s="1"/>
  <c r="E77" i="3"/>
  <c r="E81" i="3" s="1"/>
  <c r="E16" i="4"/>
  <c r="E17" i="4" s="1"/>
  <c r="D29" i="4"/>
  <c r="J69" i="4"/>
  <c r="J73" i="4" s="1"/>
  <c r="F94" i="2"/>
  <c r="I39" i="3"/>
  <c r="G56" i="3"/>
  <c r="I62" i="3"/>
  <c r="H87" i="3"/>
  <c r="H85" i="3"/>
  <c r="H89" i="3" s="1"/>
  <c r="I21" i="4"/>
  <c r="J62" i="4"/>
  <c r="H22" i="3"/>
  <c r="D29" i="3"/>
  <c r="I54" i="3"/>
  <c r="D60" i="3"/>
  <c r="H96" i="3"/>
  <c r="H97" i="3" s="1"/>
  <c r="K15" i="4"/>
  <c r="I37" i="4"/>
  <c r="D60" i="4"/>
  <c r="F47" i="3"/>
  <c r="H23" i="4"/>
  <c r="E63" i="4"/>
  <c r="E65" i="4" s="1"/>
  <c r="J88" i="4"/>
  <c r="J89" i="4" s="1"/>
  <c r="J102" i="4"/>
  <c r="H39" i="5"/>
  <c r="I47" i="5"/>
  <c r="H70" i="5"/>
  <c r="H95" i="5"/>
  <c r="D86" i="5"/>
  <c r="E48" i="3"/>
  <c r="E49" i="3" s="1"/>
  <c r="I37" i="3"/>
  <c r="I41" i="3" s="1"/>
  <c r="E85" i="3"/>
  <c r="E89" i="3" s="1"/>
  <c r="J13" i="4"/>
  <c r="J46" i="4"/>
  <c r="G64" i="4"/>
  <c r="G65" i="4" s="1"/>
  <c r="D79" i="4"/>
  <c r="E87" i="4"/>
  <c r="F104" i="4"/>
  <c r="E102" i="4"/>
  <c r="K22" i="5"/>
  <c r="K30" i="5"/>
  <c r="F31" i="5"/>
  <c r="J47" i="5"/>
  <c r="E54" i="5"/>
  <c r="G61" i="5"/>
  <c r="K64" i="5"/>
  <c r="G101" i="5"/>
  <c r="G105" i="5" s="1"/>
  <c r="K103" i="5"/>
  <c r="K105" i="5" s="1"/>
  <c r="G85" i="5"/>
  <c r="J56" i="3"/>
  <c r="D15" i="4"/>
  <c r="K61" i="4"/>
  <c r="D77" i="4"/>
  <c r="I96" i="4"/>
  <c r="D12" i="5"/>
  <c r="I37" i="5"/>
  <c r="I54" i="5"/>
  <c r="I57" i="5" s="1"/>
  <c r="J63" i="5"/>
  <c r="D103" i="5"/>
  <c r="G21" i="3"/>
  <c r="I53" i="3"/>
  <c r="F94" i="3"/>
  <c r="J37" i="4"/>
  <c r="J41" i="4" s="1"/>
  <c r="I47" i="4"/>
  <c r="K45" i="4"/>
  <c r="K49" i="4" s="1"/>
  <c r="G86" i="4"/>
  <c r="E94" i="4"/>
  <c r="E97" i="4" s="1"/>
  <c r="H102" i="4"/>
  <c r="H105" i="4" s="1"/>
  <c r="E16" i="5"/>
  <c r="H23" i="5"/>
  <c r="E24" i="5"/>
  <c r="E25" i="5" s="1"/>
  <c r="J30" i="5"/>
  <c r="F38" i="5"/>
  <c r="D39" i="5"/>
  <c r="D29" i="5"/>
  <c r="G45" i="5"/>
  <c r="G55" i="5"/>
  <c r="G57" i="5" s="1"/>
  <c r="F56" i="5"/>
  <c r="I71" i="5"/>
  <c r="K63" i="5"/>
  <c r="K65" i="5" s="1"/>
  <c r="E70" i="5"/>
  <c r="J62" i="5"/>
  <c r="J65" i="5" s="1"/>
  <c r="K80" i="5"/>
  <c r="F94" i="5"/>
  <c r="F97" i="5" s="1"/>
  <c r="I79" i="5"/>
  <c r="F102" i="5"/>
  <c r="F105" i="5" s="1"/>
  <c r="E88" i="5"/>
  <c r="D78" i="5"/>
  <c r="I78" i="5"/>
  <c r="I81" i="5" s="1"/>
  <c r="D53" i="3"/>
  <c r="F72" i="4"/>
  <c r="F73" i="4" s="1"/>
  <c r="D64" i="4"/>
  <c r="H79" i="4"/>
  <c r="I86" i="4"/>
  <c r="I89" i="4" s="1"/>
  <c r="J95" i="4"/>
  <c r="K102" i="4"/>
  <c r="K105" i="4" s="1"/>
  <c r="H24" i="5"/>
  <c r="E40" i="5"/>
  <c r="K40" i="5"/>
  <c r="D46" i="5"/>
  <c r="J53" i="5"/>
  <c r="E72" i="5"/>
  <c r="E73" i="5" s="1"/>
  <c r="I69" i="5"/>
  <c r="E104" i="5"/>
  <c r="K77" i="5"/>
  <c r="K81" i="5" s="1"/>
  <c r="H80" i="5"/>
  <c r="I73" i="5"/>
  <c r="H81" i="5"/>
  <c r="G49" i="5"/>
  <c r="I73" i="4"/>
  <c r="J33" i="5"/>
  <c r="G89" i="5"/>
  <c r="J25" i="5"/>
  <c r="K81" i="3"/>
  <c r="J57" i="5"/>
  <c r="J57" i="4"/>
  <c r="F97" i="3"/>
  <c r="I33" i="4"/>
  <c r="H33" i="3"/>
  <c r="H57" i="2"/>
  <c r="I105" i="2"/>
  <c r="K33" i="2"/>
  <c r="E57" i="2"/>
  <c r="G17" i="3"/>
  <c r="J25" i="2"/>
  <c r="I17" i="2"/>
  <c r="E9" i="5"/>
  <c r="I49" i="5"/>
  <c r="H89" i="5"/>
  <c r="J41" i="5"/>
  <c r="I49" i="4"/>
  <c r="F41" i="5"/>
  <c r="J17" i="5"/>
  <c r="H73" i="3"/>
  <c r="K49" i="5"/>
  <c r="H81" i="4"/>
  <c r="K33" i="4"/>
  <c r="I65" i="3"/>
  <c r="G41" i="4"/>
  <c r="J41" i="3"/>
  <c r="F105" i="3"/>
  <c r="K41" i="3"/>
  <c r="F65" i="2"/>
  <c r="F105" i="2"/>
  <c r="E32" i="1"/>
  <c r="G65" i="2"/>
  <c r="F97" i="2"/>
  <c r="G25" i="2"/>
  <c r="K9" i="3"/>
  <c r="H49" i="5"/>
  <c r="I41" i="5"/>
  <c r="E89" i="5"/>
  <c r="H41" i="5"/>
  <c r="F57" i="4"/>
  <c r="H17" i="5"/>
  <c r="K57" i="3"/>
  <c r="H33" i="5"/>
  <c r="G49" i="4"/>
  <c r="K41" i="4"/>
  <c r="F65" i="3"/>
  <c r="I25" i="4"/>
  <c r="F41" i="3"/>
  <c r="K105" i="3"/>
  <c r="H25" i="3"/>
  <c r="J49" i="5"/>
  <c r="H25" i="5"/>
  <c r="H17" i="4"/>
  <c r="I32" i="1"/>
  <c r="I89" i="2"/>
  <c r="H65" i="2"/>
  <c r="H25" i="2"/>
  <c r="J25" i="3"/>
  <c r="J8" i="1"/>
  <c r="F105" i="4"/>
  <c r="F89" i="4"/>
  <c r="K17" i="4"/>
  <c r="J65" i="3"/>
  <c r="I9" i="3"/>
  <c r="I49" i="2"/>
  <c r="J65" i="2"/>
  <c r="F9" i="5"/>
  <c r="K25" i="4"/>
  <c r="K81" i="2"/>
  <c r="H57" i="5"/>
  <c r="F33" i="5"/>
  <c r="G89" i="3"/>
  <c r="J33" i="4"/>
  <c r="K40" i="1"/>
  <c r="E105" i="2"/>
  <c r="F57" i="2"/>
  <c r="J17" i="2"/>
  <c r="E73" i="3"/>
  <c r="G73" i="2"/>
  <c r="I25" i="5"/>
  <c r="G33" i="3"/>
  <c r="I97" i="2"/>
  <c r="J81" i="2"/>
  <c r="H40" i="1"/>
  <c r="H97" i="2"/>
  <c r="G33" i="2"/>
  <c r="K17" i="2"/>
  <c r="J97" i="4"/>
  <c r="F17" i="5"/>
  <c r="I81" i="3"/>
  <c r="E65" i="5"/>
  <c r="G41" i="3"/>
  <c r="F25" i="5"/>
  <c r="H25" i="4"/>
  <c r="G65" i="3"/>
  <c r="G25" i="3"/>
  <c r="G105" i="2"/>
  <c r="H81" i="2"/>
  <c r="G24" i="1"/>
  <c r="E89" i="2"/>
  <c r="H8" i="1"/>
  <c r="J9" i="3"/>
  <c r="E81" i="4"/>
  <c r="I97" i="4"/>
  <c r="K89" i="4"/>
  <c r="G25" i="5"/>
  <c r="G73" i="4"/>
  <c r="J57" i="3"/>
  <c r="E25" i="3"/>
  <c r="H105" i="2"/>
  <c r="H65" i="4"/>
  <c r="I89" i="3"/>
  <c r="G89" i="2"/>
  <c r="F33" i="2"/>
  <c r="F49" i="3"/>
  <c r="G9" i="2"/>
  <c r="G49" i="3"/>
  <c r="K49" i="2"/>
  <c r="E25" i="2"/>
  <c r="H81" i="3"/>
  <c r="I9" i="2"/>
  <c r="I81" i="4"/>
  <c r="E57" i="3"/>
  <c r="K73" i="2"/>
  <c r="K16" i="1"/>
  <c r="K25" i="5"/>
  <c r="K57" i="2"/>
  <c r="J105" i="4"/>
  <c r="J89" i="3"/>
  <c r="H73" i="4"/>
  <c r="H16" i="1"/>
  <c r="K105" i="2"/>
  <c r="G9" i="3"/>
  <c r="E49" i="4"/>
  <c r="E33" i="4"/>
  <c r="G97" i="3"/>
  <c r="G105" i="3"/>
  <c r="I65" i="5"/>
  <c r="J33" i="2"/>
  <c r="K41" i="5"/>
  <c r="G81" i="4"/>
  <c r="E105" i="3"/>
  <c r="F17" i="3"/>
  <c r="F33" i="4"/>
  <c r="E9" i="3"/>
  <c r="J17" i="3"/>
  <c r="G41" i="2"/>
  <c r="G9" i="5"/>
  <c r="I9" i="4"/>
  <c r="D36" i="4"/>
  <c r="K30" i="1"/>
  <c r="K32" i="1" s="1"/>
  <c r="G5" i="4"/>
  <c r="J85" i="2"/>
  <c r="J89" i="2" s="1"/>
  <c r="K22" i="2"/>
  <c r="K25" i="2" s="1"/>
  <c r="F47" i="2"/>
  <c r="F49" i="2" s="1"/>
  <c r="I47" i="3"/>
  <c r="I49" i="3" s="1"/>
  <c r="K88" i="3"/>
  <c r="K89" i="3" s="1"/>
  <c r="K63" i="4"/>
  <c r="K65" i="4" s="1"/>
  <c r="J47" i="3"/>
  <c r="J49" i="3" s="1"/>
  <c r="J103" i="3"/>
  <c r="J105" i="3" s="1"/>
  <c r="H37" i="4"/>
  <c r="H41" i="4" s="1"/>
  <c r="I56" i="3"/>
  <c r="I57" i="3" s="1"/>
  <c r="J15" i="4"/>
  <c r="J17" i="4" s="1"/>
  <c r="H104" i="3"/>
  <c r="H105" i="3" s="1"/>
  <c r="H96" i="4"/>
  <c r="F64" i="5"/>
  <c r="I96" i="5"/>
  <c r="I97" i="5" s="1"/>
  <c r="E40" i="3"/>
  <c r="E41" i="3" s="1"/>
  <c r="D69" i="4"/>
  <c r="E86" i="4"/>
  <c r="E89" i="4" s="1"/>
  <c r="K15" i="5"/>
  <c r="K17" i="5" s="1"/>
  <c r="F54" i="5"/>
  <c r="J79" i="5"/>
  <c r="J81" i="5" s="1"/>
  <c r="F88" i="5"/>
  <c r="D54" i="4"/>
  <c r="G104" i="4"/>
  <c r="G105" i="4" s="1"/>
  <c r="F45" i="5"/>
  <c r="F49" i="5" s="1"/>
  <c r="I86" i="5"/>
  <c r="I89" i="5" s="1"/>
  <c r="I96" i="3"/>
  <c r="I97" i="3" s="1"/>
  <c r="F63" i="4"/>
  <c r="F65" i="4" s="1"/>
  <c r="H94" i="4"/>
  <c r="E14" i="5"/>
  <c r="E17" i="5" s="1"/>
  <c r="G39" i="5"/>
  <c r="G41" i="5" s="1"/>
  <c r="E47" i="5"/>
  <c r="E49" i="5" s="1"/>
  <c r="H71" i="5"/>
  <c r="H73" i="5" s="1"/>
  <c r="J86" i="5"/>
  <c r="J89" i="5" s="1"/>
  <c r="H96" i="5"/>
  <c r="H97" i="5" s="1"/>
  <c r="E96" i="5"/>
  <c r="E97" i="5" s="1"/>
  <c r="E13" i="3"/>
  <c r="E17" i="3" s="1"/>
  <c r="F79" i="4"/>
  <c r="F81" i="4" s="1"/>
  <c r="E101" i="4"/>
  <c r="E105" i="4" s="1"/>
  <c r="K32" i="5"/>
  <c r="K33" i="5" s="1"/>
  <c r="F71" i="5"/>
  <c r="F73" i="5" s="1"/>
  <c r="F86" i="5"/>
  <c r="F89" i="5" s="1"/>
  <c r="D88" i="5"/>
  <c r="E81" i="5"/>
  <c r="H65" i="5"/>
  <c r="E41" i="5"/>
  <c r="F97" i="4"/>
  <c r="K17" i="3"/>
  <c r="G57" i="3"/>
  <c r="I25" i="2"/>
  <c r="H73" i="2"/>
  <c r="G81" i="5"/>
  <c r="F57" i="5"/>
  <c r="K33" i="3"/>
  <c r="G65" i="5"/>
  <c r="F81" i="3"/>
  <c r="J25" i="4"/>
  <c r="H49" i="2"/>
  <c r="I81" i="2"/>
  <c r="H9" i="2"/>
  <c r="E105" i="5"/>
  <c r="E57" i="5"/>
  <c r="I41" i="4"/>
  <c r="F33" i="3"/>
  <c r="H57" i="3"/>
  <c r="F81" i="5"/>
  <c r="G89" i="4"/>
  <c r="F41" i="2"/>
  <c r="I24" i="1"/>
  <c r="I33" i="3"/>
  <c r="J49" i="4"/>
  <c r="E81" i="2"/>
  <c r="E57" i="4"/>
  <c r="F25" i="2"/>
  <c r="K9" i="5"/>
  <c r="K97" i="2"/>
  <c r="J24" i="1"/>
  <c r="I25" i="3"/>
  <c r="I8" i="1"/>
  <c r="G25" i="4"/>
  <c r="E16" i="1"/>
  <c r="E33" i="5"/>
  <c r="E9" i="4"/>
  <c r="F65" i="5"/>
  <c r="J16" i="1"/>
  <c r="J65" i="4"/>
  <c r="H97" i="4"/>
  <c r="J97" i="2"/>
  <c r="I105" i="4"/>
  <c r="J73" i="5"/>
  <c r="H17" i="2"/>
  <c r="F81" i="2"/>
  <c r="K65" i="3"/>
  <c r="H9" i="4"/>
  <c r="K41" i="2"/>
  <c r="I9" i="5"/>
  <c r="G16" i="1"/>
  <c r="G9" i="4"/>
  <c r="E8" i="1"/>
  <c r="K8" i="1"/>
  <c r="E40" i="1"/>
  <c r="K24" i="1"/>
  <c r="K9" i="2"/>
</calcChain>
</file>

<file path=xl/sharedStrings.xml><?xml version="1.0" encoding="utf-8"?>
<sst xmlns="http://schemas.openxmlformats.org/spreadsheetml/2006/main" count="745" uniqueCount="28">
  <si>
    <t>A</t>
  </si>
  <si>
    <t>B</t>
  </si>
  <si>
    <t>C</t>
  </si>
  <si>
    <t>Test1</t>
  </si>
  <si>
    <t>Distance</t>
  </si>
  <si>
    <t>Test2</t>
  </si>
  <si>
    <t>Test3</t>
  </si>
  <si>
    <t>Test4</t>
  </si>
  <si>
    <t>Test5</t>
  </si>
  <si>
    <t>Change</t>
  </si>
  <si>
    <t>Magnitude</t>
  </si>
  <si>
    <t>Change( C )</t>
  </si>
  <si>
    <t>Change( B )</t>
  </si>
  <si>
    <t>Change( A )</t>
  </si>
  <si>
    <t>Change( ABC )</t>
  </si>
  <si>
    <t>Change( AB )</t>
  </si>
  <si>
    <t>Change( AC )</t>
  </si>
  <si>
    <t>Change( BC )</t>
  </si>
  <si>
    <t>Canonical</t>
  </si>
  <si>
    <t>Native</t>
  </si>
  <si>
    <t>(XYZ)</t>
  </si>
  <si>
    <t>X</t>
  </si>
  <si>
    <t>Y</t>
  </si>
  <si>
    <t>Z</t>
  </si>
  <si>
    <t>-Z</t>
  </si>
  <si>
    <t>-Y</t>
  </si>
  <si>
    <t>-X</t>
  </si>
  <si>
    <t>'-X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</si>
</sst>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0"/>
  <sheetViews>
    <sheetView topLeftCell="A4" zoomScale="85" zoomScaleNormal="85" workbookViewId="0">
      <selection activeCell="A33" sqref="A33:K40"/>
    </sheetView>
  </sheetViews>
  <sheetFormatPr defaultRowHeight="15" x14ac:dyDescent="0.25"/>
  <cols>
    <col min="4" max="4" width="14.5703125" customWidth="1"/>
    <col min="5" max="11" width="12.7109375" customWidth="1"/>
  </cols>
  <sheetData>
    <row r="1" spans="1:11" x14ac:dyDescent="0.25">
      <c r="A1" t="s">
        <v>3</v>
      </c>
    </row>
    <row r="2" spans="1:11" x14ac:dyDescent="0.25">
      <c r="A2" t="s">
        <v>0</v>
      </c>
      <c r="B2" t="s">
        <v>1</v>
      </c>
      <c r="C2" t="s">
        <v>2</v>
      </c>
      <c r="D2" t="s">
        <v>10</v>
      </c>
      <c r="E2" t="s">
        <v>14</v>
      </c>
      <c r="F2" t="s">
        <v>13</v>
      </c>
      <c r="G2" t="s">
        <v>12</v>
      </c>
      <c r="H2" t="s">
        <v>11</v>
      </c>
      <c r="I2" t="s">
        <v>15</v>
      </c>
      <c r="J2" t="s">
        <v>16</v>
      </c>
      <c r="K2" t="s">
        <v>17</v>
      </c>
    </row>
    <row r="3" spans="1:11" x14ac:dyDescent="0.25">
      <c r="A3">
        <v>0</v>
      </c>
      <c r="B3">
        <v>0</v>
      </c>
      <c r="C3">
        <v>0</v>
      </c>
      <c r="D3">
        <f ca="1">SQRT(INDIRECT("RC[-3]",0)^2 + INDIRECT("RC[-2]",0)^2 + INDIRECT("RC[-1]",0)^2)</f>
        <v>0</v>
      </c>
    </row>
    <row r="4" spans="1:11" x14ac:dyDescent="0.25">
      <c r="A4">
        <v>1</v>
      </c>
      <c r="B4">
        <v>1</v>
      </c>
      <c r="C4">
        <v>1</v>
      </c>
      <c r="D4">
        <f ca="1">SQRT(INDIRECT("RC[-3]",0)^2 + INDIRECT("RC[-2]",0)^2 + INDIRECT("RC[-1]",0)^2)</f>
        <v>1.7320508075688772</v>
      </c>
      <c r="E4">
        <f ca="1">SQRT((INDIRECT("R[-1]C[-4]",0) - INDIRECT("RC[-4]",0))^2 + (INDIRECT("R[-1]C[-3]",0) - INDIRECT("RC[-3]",0))^2 + (INDIRECT("R[-1]C[-2]",0) - INDIRECT("RC[-2]",0))^2)</f>
        <v>1.7320508075688772</v>
      </c>
      <c r="F4">
        <f t="shared" ref="F4:H7" ca="1" si="0">SQRT((INDIRECT("R[-1]C[-5]",0) - INDIRECT("RC[-5]",0))^2)</f>
        <v>1</v>
      </c>
      <c r="G4">
        <f t="shared" ca="1" si="0"/>
        <v>1</v>
      </c>
      <c r="H4">
        <f t="shared" ca="1" si="0"/>
        <v>1</v>
      </c>
      <c r="I4">
        <f ca="1">SQRT((INDIRECT("R[-1]C[-8]",0) - INDIRECT("RC[-8]",0))^2 + (INDIRECT("R[-1]C[-7]",0) - INDIRECT("RC[-7]",0))^2)</f>
        <v>1.4142135623730951</v>
      </c>
      <c r="J4">
        <f ca="1">SQRT((INDIRECT("R[-1]C[-9]",0) - INDIRECT("RC[-9]",0))^2 + (INDIRECT("R[-1]C[-7]",0) - INDIRECT("RC[-7]",0))^2)</f>
        <v>1.4142135623730951</v>
      </c>
      <c r="K4">
        <f ca="1">SQRT((INDIRECT("R[-1]C[-9]",0) - INDIRECT("RC[-9]",0))^2 + (INDIRECT("R[-1]C[-8]",0) - INDIRECT("RC[-8]",0))^2)</f>
        <v>1.4142135623730951</v>
      </c>
    </row>
    <row r="5" spans="1:11" x14ac:dyDescent="0.25">
      <c r="A5">
        <v>2</v>
      </c>
      <c r="B5">
        <v>2</v>
      </c>
      <c r="C5">
        <v>2</v>
      </c>
      <c r="D5">
        <f ca="1">SQRT(INDIRECT("RC[-3]",0)^2 + INDIRECT("RC[-2]",0)^2 + INDIRECT("RC[-1]",0)^2)</f>
        <v>3.4641016151377544</v>
      </c>
      <c r="E5">
        <f ca="1">SQRT((INDIRECT("R[-1]C[-4]",0) - INDIRECT("RC[-4]",0))^2 + (INDIRECT("R[-1]C[-3]",0) - INDIRECT("RC[-3]",0))^2 + (INDIRECT("R[-1]C[-2]",0) - INDIRECT("RC[-2]",0))^2)</f>
        <v>1.7320508075688772</v>
      </c>
      <c r="F5">
        <f t="shared" ca="1" si="0"/>
        <v>1</v>
      </c>
      <c r="G5">
        <f t="shared" ca="1" si="0"/>
        <v>1</v>
      </c>
      <c r="H5">
        <f t="shared" ca="1" si="0"/>
        <v>1</v>
      </c>
      <c r="I5">
        <f ca="1">SQRT((INDIRECT("R[-1]C[-8]",0) - INDIRECT("RC[-8]",0))^2 + (INDIRECT("R[-1]C[-7]",0) - INDIRECT("RC[-7]",0))^2)</f>
        <v>1.4142135623730951</v>
      </c>
      <c r="J5">
        <f ca="1">SQRT((INDIRECT("R[-1]C[-9]",0) - INDIRECT("RC[-9]",0))^2 + (INDIRECT("R[-1]C[-7]",0) - INDIRECT("RC[-7]",0))^2)</f>
        <v>1.4142135623730951</v>
      </c>
      <c r="K5">
        <f ca="1">SQRT((INDIRECT("R[-1]C[-9]",0) - INDIRECT("RC[-9]",0))^2 + (INDIRECT("R[-1]C[-8]",0) - INDIRECT("RC[-8]",0))^2)</f>
        <v>1.4142135623730951</v>
      </c>
    </row>
    <row r="6" spans="1:11" x14ac:dyDescent="0.25">
      <c r="A6">
        <v>3</v>
      </c>
      <c r="B6">
        <v>3</v>
      </c>
      <c r="C6">
        <v>3</v>
      </c>
      <c r="D6">
        <f ca="1">SQRT(INDIRECT("RC[-3]",0)^2 + INDIRECT("RC[-2]",0)^2 + INDIRECT("RC[-1]",0)^2)</f>
        <v>5.196152422706632</v>
      </c>
      <c r="E6">
        <f ca="1">SQRT((INDIRECT("R[-1]C[-4]",0) - INDIRECT("RC[-4]",0))^2 + (INDIRECT("R[-1]C[-3]",0) - INDIRECT("RC[-3]",0))^2 + (INDIRECT("R[-1]C[-2]",0) - INDIRECT("RC[-2]",0))^2)</f>
        <v>1.7320508075688772</v>
      </c>
      <c r="F6">
        <f t="shared" ca="1" si="0"/>
        <v>1</v>
      </c>
      <c r="G6">
        <f t="shared" ca="1" si="0"/>
        <v>1</v>
      </c>
      <c r="H6">
        <f t="shared" ca="1" si="0"/>
        <v>1</v>
      </c>
      <c r="I6">
        <f ca="1">SQRT((INDIRECT("R[-1]C[-8]",0) - INDIRECT("RC[-8]",0))^2 + (INDIRECT("R[-1]C[-7]",0) - INDIRECT("RC[-7]",0))^2)</f>
        <v>1.4142135623730951</v>
      </c>
      <c r="J6">
        <f ca="1">SQRT((INDIRECT("R[-1]C[-9]",0) - INDIRECT("RC[-9]",0))^2 + (INDIRECT("R[-1]C[-7]",0) - INDIRECT("RC[-7]",0))^2)</f>
        <v>1.4142135623730951</v>
      </c>
      <c r="K6">
        <f ca="1">SQRT((INDIRECT("R[-1]C[-9]",0) - INDIRECT("RC[-9]",0))^2 + (INDIRECT("R[-1]C[-8]",0) - INDIRECT("RC[-8]",0))^2)</f>
        <v>1.4142135623730951</v>
      </c>
    </row>
    <row r="7" spans="1:11" x14ac:dyDescent="0.25">
      <c r="A7">
        <v>4</v>
      </c>
      <c r="B7">
        <v>4</v>
      </c>
      <c r="C7">
        <v>4</v>
      </c>
      <c r="D7">
        <f ca="1">SQRT(INDIRECT("RC[-3]",0)^2 + INDIRECT("RC[-2]",0)^2 + INDIRECT("RC[-1]",0)^2)</f>
        <v>6.9282032302755088</v>
      </c>
      <c r="E7">
        <f ca="1">SQRT((INDIRECT("R[-1]C[-4]",0) - INDIRECT("RC[-4]",0))^2 + (INDIRECT("R[-1]C[-3]",0) - INDIRECT("RC[-3]",0))^2 + (INDIRECT("R[-1]C[-2]",0) - INDIRECT("RC[-2]",0))^2)</f>
        <v>1.7320508075688772</v>
      </c>
      <c r="F7">
        <f t="shared" ca="1" si="0"/>
        <v>1</v>
      </c>
      <c r="G7">
        <f t="shared" ca="1" si="0"/>
        <v>1</v>
      </c>
      <c r="H7">
        <f t="shared" ca="1" si="0"/>
        <v>1</v>
      </c>
      <c r="I7">
        <f ca="1">SQRT((INDIRECT("R[-1]C[-8]",0) - INDIRECT("RC[-8]",0))^2 + (INDIRECT("R[-1]C[-7]",0) - INDIRECT("RC[-7]",0))^2)</f>
        <v>1.4142135623730951</v>
      </c>
      <c r="J7">
        <f ca="1">SQRT((INDIRECT("R[-1]C[-9]",0) - INDIRECT("RC[-9]",0))^2 + (INDIRECT("R[-1]C[-7]",0) - INDIRECT("RC[-7]",0))^2)</f>
        <v>1.4142135623730951</v>
      </c>
      <c r="K7">
        <f ca="1">SQRT((INDIRECT("R[-1]C[-9]",0) - INDIRECT("RC[-9]",0))^2 + (INDIRECT("R[-1]C[-8]",0) - INDIRECT("RC[-8]",0))^2)</f>
        <v>1.4142135623730951</v>
      </c>
    </row>
    <row r="8" spans="1:11" x14ac:dyDescent="0.25">
      <c r="D8" t="s">
        <v>4</v>
      </c>
      <c r="E8">
        <f t="shared" ref="E8:K8" ca="1" si="1">(INDIRECT("R[-1]C",0) + INDIRECT("R[-2]C",0) + INDIRECT("R[-3]C",0) + INDIRECT("R[-4]C",0))</f>
        <v>6.9282032302755088</v>
      </c>
      <c r="F8">
        <f t="shared" ca="1" si="1"/>
        <v>4</v>
      </c>
      <c r="G8">
        <f t="shared" ca="1" si="1"/>
        <v>4</v>
      </c>
      <c r="H8">
        <f t="shared" ca="1" si="1"/>
        <v>4</v>
      </c>
      <c r="I8">
        <f t="shared" ca="1" si="1"/>
        <v>5.6568542494923806</v>
      </c>
      <c r="J8">
        <f t="shared" ca="1" si="1"/>
        <v>5.6568542494923806</v>
      </c>
      <c r="K8">
        <f t="shared" ca="1" si="1"/>
        <v>5.6568542494923806</v>
      </c>
    </row>
    <row r="9" spans="1:11" x14ac:dyDescent="0.25">
      <c r="A9" t="s">
        <v>5</v>
      </c>
    </row>
    <row r="10" spans="1:11" x14ac:dyDescent="0.25">
      <c r="A10" t="s">
        <v>0</v>
      </c>
      <c r="B10" t="s">
        <v>1</v>
      </c>
      <c r="C10" t="s">
        <v>2</v>
      </c>
      <c r="D10" t="s">
        <v>10</v>
      </c>
      <c r="E10" t="s">
        <v>14</v>
      </c>
      <c r="F10" t="s">
        <v>13</v>
      </c>
      <c r="G10" t="s">
        <v>12</v>
      </c>
      <c r="H10" t="s">
        <v>11</v>
      </c>
      <c r="I10" t="s">
        <v>15</v>
      </c>
      <c r="J10" t="s">
        <v>16</v>
      </c>
      <c r="K10" t="s">
        <v>17</v>
      </c>
    </row>
    <row r="11" spans="1:11" x14ac:dyDescent="0.25">
      <c r="A11">
        <v>0</v>
      </c>
      <c r="B11">
        <v>0</v>
      </c>
      <c r="C11">
        <v>0</v>
      </c>
    </row>
    <row r="12" spans="1:11" x14ac:dyDescent="0.25">
      <c r="A12">
        <v>-1</v>
      </c>
      <c r="B12">
        <v>-1</v>
      </c>
      <c r="C12">
        <v>-1</v>
      </c>
      <c r="E12">
        <f ca="1">SQRT((INDIRECT("R[-1]C[-4]",0) - INDIRECT("RC[-4]",0))^2 + (INDIRECT("R[-1]C[-3]",0) - INDIRECT("RC[-3]",0))^2 + (INDIRECT("R[-1]C[-2]",0) - INDIRECT("RC[-2]",0))^2)</f>
        <v>1.7320508075688772</v>
      </c>
      <c r="F12">
        <f t="shared" ref="F12:H15" ca="1" si="2">SQRT((INDIRECT("R[-1]C[-5]",0) - INDIRECT("RC[-5]",0))^2)</f>
        <v>1</v>
      </c>
      <c r="G12">
        <f t="shared" ca="1" si="2"/>
        <v>1</v>
      </c>
      <c r="H12">
        <f t="shared" ca="1" si="2"/>
        <v>1</v>
      </c>
      <c r="I12">
        <f ca="1">SQRT((INDIRECT("R[-1]C[-8]",0) - INDIRECT("RC[-8]",0))^2 + (INDIRECT("R[-1]C[-7]",0) - INDIRECT("RC[-7]",0))^2)</f>
        <v>1.4142135623730951</v>
      </c>
      <c r="J12">
        <f ca="1">SQRT((INDIRECT("R[-1]C[-9]",0) - INDIRECT("RC[-9]",0))^2 + (INDIRECT("R[-1]C[-7]",0) - INDIRECT("RC[-7]",0))^2)</f>
        <v>1.4142135623730951</v>
      </c>
      <c r="K12">
        <f ca="1">SQRT((INDIRECT("R[-1]C[-9]",0) - INDIRECT("RC[-9]",0))^2 + (INDIRECT("R[-1]C[-8]",0) - INDIRECT("RC[-8]",0))^2)</f>
        <v>1.4142135623730951</v>
      </c>
    </row>
    <row r="13" spans="1:11" x14ac:dyDescent="0.25">
      <c r="A13">
        <v>-2</v>
      </c>
      <c r="B13">
        <v>-2</v>
      </c>
      <c r="C13">
        <v>-2</v>
      </c>
      <c r="E13">
        <f ca="1">SQRT((INDIRECT("R[-1]C[-4]",0) - INDIRECT("RC[-4]",0))^2 + (INDIRECT("R[-1]C[-3]",0) - INDIRECT("RC[-3]",0))^2 + (INDIRECT("R[-1]C[-2]",0) - INDIRECT("RC[-2]",0))^2)</f>
        <v>1.7320508075688772</v>
      </c>
      <c r="F13">
        <f t="shared" ca="1" si="2"/>
        <v>1</v>
      </c>
      <c r="G13">
        <f t="shared" ca="1" si="2"/>
        <v>1</v>
      </c>
      <c r="H13">
        <f t="shared" ca="1" si="2"/>
        <v>1</v>
      </c>
      <c r="I13">
        <f ca="1">SQRT((INDIRECT("R[-1]C[-8]",0) - INDIRECT("RC[-8]",0))^2 + (INDIRECT("R[-1]C[-7]",0) - INDIRECT("RC[-7]",0))^2)</f>
        <v>1.4142135623730951</v>
      </c>
      <c r="J13">
        <f ca="1">SQRT((INDIRECT("R[-1]C[-9]",0) - INDIRECT("RC[-9]",0))^2 + (INDIRECT("R[-1]C[-7]",0) - INDIRECT("RC[-7]",0))^2)</f>
        <v>1.4142135623730951</v>
      </c>
      <c r="K13">
        <f ca="1">SQRT((INDIRECT("R[-1]C[-9]",0) - INDIRECT("RC[-9]",0))^2 + (INDIRECT("R[-1]C[-8]",0) - INDIRECT("RC[-8]",0))^2)</f>
        <v>1.4142135623730951</v>
      </c>
    </row>
    <row r="14" spans="1:11" x14ac:dyDescent="0.25">
      <c r="A14">
        <v>-3</v>
      </c>
      <c r="B14">
        <v>-3</v>
      </c>
      <c r="C14">
        <v>-3</v>
      </c>
      <c r="E14">
        <f ca="1">SQRT((INDIRECT("R[-1]C[-4]",0) - INDIRECT("RC[-4]",0))^2 + (INDIRECT("R[-1]C[-3]",0) - INDIRECT("RC[-3]",0))^2 + (INDIRECT("R[-1]C[-2]",0) - INDIRECT("RC[-2]",0))^2)</f>
        <v>1.7320508075688772</v>
      </c>
      <c r="F14">
        <f t="shared" ca="1" si="2"/>
        <v>1</v>
      </c>
      <c r="G14">
        <f t="shared" ca="1" si="2"/>
        <v>1</v>
      </c>
      <c r="H14">
        <f t="shared" ca="1" si="2"/>
        <v>1</v>
      </c>
      <c r="I14">
        <f ca="1">SQRT((INDIRECT("R[-1]C[-8]",0) - INDIRECT("RC[-8]",0))^2 + (INDIRECT("R[-1]C[-7]",0) - INDIRECT("RC[-7]",0))^2)</f>
        <v>1.4142135623730951</v>
      </c>
      <c r="J14">
        <f ca="1">SQRT((INDIRECT("R[-1]C[-9]",0) - INDIRECT("RC[-9]",0))^2 + (INDIRECT("R[-1]C[-7]",0) - INDIRECT("RC[-7]",0))^2)</f>
        <v>1.4142135623730951</v>
      </c>
      <c r="K14">
        <f ca="1">SQRT((INDIRECT("R[-1]C[-9]",0) - INDIRECT("RC[-9]",0))^2 + (INDIRECT("R[-1]C[-8]",0) - INDIRECT("RC[-8]",0))^2)</f>
        <v>1.4142135623730951</v>
      </c>
    </row>
    <row r="15" spans="1:11" x14ac:dyDescent="0.25">
      <c r="A15">
        <v>-4</v>
      </c>
      <c r="B15">
        <v>-4</v>
      </c>
      <c r="C15">
        <v>-4</v>
      </c>
      <c r="E15">
        <f ca="1">SQRT((INDIRECT("R[-1]C[-4]",0) - INDIRECT("RC[-4]",0))^2 + (INDIRECT("R[-1]C[-3]",0) - INDIRECT("RC[-3]",0))^2 + (INDIRECT("R[-1]C[-2]",0) - INDIRECT("RC[-2]",0))^2)</f>
        <v>1.7320508075688772</v>
      </c>
      <c r="F15">
        <f t="shared" ca="1" si="2"/>
        <v>1</v>
      </c>
      <c r="G15">
        <f t="shared" ca="1" si="2"/>
        <v>1</v>
      </c>
      <c r="H15">
        <f t="shared" ca="1" si="2"/>
        <v>1</v>
      </c>
      <c r="I15">
        <f ca="1">SQRT((INDIRECT("R[-1]C[-8]",0) - INDIRECT("RC[-8]",0))^2 + (INDIRECT("R[-1]C[-7]",0) - INDIRECT("RC[-7]",0))^2)</f>
        <v>1.4142135623730951</v>
      </c>
      <c r="J15">
        <f ca="1">SQRT((INDIRECT("R[-1]C[-9]",0) - INDIRECT("RC[-9]",0))^2 + (INDIRECT("R[-1]C[-7]",0) - INDIRECT("RC[-7]",0))^2)</f>
        <v>1.4142135623730951</v>
      </c>
      <c r="K15">
        <f ca="1">SQRT((INDIRECT("R[-1]C[-9]",0) - INDIRECT("RC[-9]",0))^2 + (INDIRECT("R[-1]C[-8]",0) - INDIRECT("RC[-8]",0))^2)</f>
        <v>1.4142135623730951</v>
      </c>
    </row>
    <row r="16" spans="1:11" x14ac:dyDescent="0.25">
      <c r="D16" t="s">
        <v>4</v>
      </c>
      <c r="E16">
        <f t="shared" ref="E16:K16" ca="1" si="3">(INDIRECT("R[-1]C",0) + INDIRECT("R[-2]C",0) + INDIRECT("R[-3]C",0) + INDIRECT("R[-4]C",0))</f>
        <v>6.9282032302755088</v>
      </c>
      <c r="F16">
        <f t="shared" ca="1" si="3"/>
        <v>4</v>
      </c>
      <c r="G16">
        <f t="shared" ca="1" si="3"/>
        <v>4</v>
      </c>
      <c r="H16">
        <f t="shared" ca="1" si="3"/>
        <v>4</v>
      </c>
      <c r="I16">
        <f t="shared" ca="1" si="3"/>
        <v>5.6568542494923806</v>
      </c>
      <c r="J16">
        <f t="shared" ca="1" si="3"/>
        <v>5.6568542494923806</v>
      </c>
      <c r="K16">
        <f t="shared" ca="1" si="3"/>
        <v>5.6568542494923806</v>
      </c>
    </row>
    <row r="17" spans="1:11" x14ac:dyDescent="0.25">
      <c r="A17" t="s">
        <v>6</v>
      </c>
    </row>
    <row r="18" spans="1:11" x14ac:dyDescent="0.25">
      <c r="A18" t="s">
        <v>0</v>
      </c>
      <c r="B18" t="s">
        <v>1</v>
      </c>
      <c r="C18" t="s">
        <v>2</v>
      </c>
      <c r="D18" t="s">
        <v>10</v>
      </c>
      <c r="E18" t="s">
        <v>9</v>
      </c>
      <c r="F18" t="s">
        <v>13</v>
      </c>
      <c r="G18" t="s">
        <v>12</v>
      </c>
      <c r="H18" t="s">
        <v>11</v>
      </c>
      <c r="I18" t="s">
        <v>15</v>
      </c>
      <c r="J18" t="s">
        <v>16</v>
      </c>
      <c r="K18" t="s">
        <v>17</v>
      </c>
    </row>
    <row r="19" spans="1:11" x14ac:dyDescent="0.25">
      <c r="A19">
        <v>1.5</v>
      </c>
      <c r="B19">
        <v>2.7</v>
      </c>
      <c r="C19">
        <v>7.8</v>
      </c>
    </row>
    <row r="20" spans="1:11" x14ac:dyDescent="0.25">
      <c r="A20">
        <v>9</v>
      </c>
      <c r="B20">
        <v>2.7</v>
      </c>
      <c r="C20">
        <v>7.8</v>
      </c>
      <c r="E20">
        <f ca="1">SQRT((INDIRECT("R[-1]C[-4]",0) - INDIRECT("RC[-4]",0))^2 + (INDIRECT("R[-1]C[-3]",0) - INDIRECT("RC[-3]",0))^2 + (INDIRECT("R[-1]C[-2]",0) - INDIRECT("RC[-2]",0))^2)</f>
        <v>7.5</v>
      </c>
      <c r="F20">
        <f t="shared" ref="F20:H23" ca="1" si="4">SQRT((INDIRECT("R[-1]C[-5]",0) - INDIRECT("RC[-5]",0))^2)</f>
        <v>7.5</v>
      </c>
      <c r="G20">
        <f t="shared" ca="1" si="4"/>
        <v>0</v>
      </c>
      <c r="H20">
        <f t="shared" ca="1" si="4"/>
        <v>0</v>
      </c>
      <c r="I20">
        <f ca="1">SQRT((INDIRECT("R[-1]C[-8]",0) - INDIRECT("RC[-8]",0))^2 + (INDIRECT("R[-1]C[-7]",0) - INDIRECT("RC[-7]",0))^2)</f>
        <v>7.5</v>
      </c>
      <c r="J20">
        <f ca="1">SQRT((INDIRECT("R[-1]C[-9]",0) - INDIRECT("RC[-9]",0))^2 + (INDIRECT("R[-1]C[-7]",0) - INDIRECT("RC[-7]",0))^2)</f>
        <v>7.5</v>
      </c>
      <c r="K20">
        <f ca="1">SQRT((INDIRECT("R[-1]C[-9]",0) - INDIRECT("RC[-9]",0))^2 + (INDIRECT("R[-1]C[-8]",0) - INDIRECT("RC[-8]",0))^2)</f>
        <v>0</v>
      </c>
    </row>
    <row r="21" spans="1:11" x14ac:dyDescent="0.25">
      <c r="A21">
        <v>6.33</v>
      </c>
      <c r="B21">
        <v>3.33</v>
      </c>
      <c r="C21">
        <v>0.44</v>
      </c>
      <c r="E21">
        <f ca="1">SQRT((INDIRECT("R[-1]C[-4]",0) - INDIRECT("RC[-4]",0))^2 + (INDIRECT("R[-1]C[-3]",0) - INDIRECT("RC[-3]",0))^2 + (INDIRECT("R[-1]C[-2]",0) - INDIRECT("RC[-2]",0))^2)</f>
        <v>7.8546419396430789</v>
      </c>
      <c r="F21">
        <f t="shared" ca="1" si="4"/>
        <v>2.67</v>
      </c>
      <c r="G21">
        <f t="shared" ca="1" si="4"/>
        <v>0.62999999999999989</v>
      </c>
      <c r="H21">
        <f t="shared" ca="1" si="4"/>
        <v>7.3599999999999994</v>
      </c>
      <c r="I21">
        <f ca="1">SQRT((INDIRECT("R[-1]C[-8]",0) - INDIRECT("RC[-8]",0))^2 + (INDIRECT("R[-1]C[-7]",0) - INDIRECT("RC[-7]",0))^2)</f>
        <v>2.7433191575170395</v>
      </c>
      <c r="J21">
        <f ca="1">SQRT((INDIRECT("R[-1]C[-9]",0) - INDIRECT("RC[-9]",0))^2 + (INDIRECT("R[-1]C[-7]",0) - INDIRECT("RC[-7]",0))^2)</f>
        <v>7.8293358594455498</v>
      </c>
      <c r="K21">
        <f ca="1">SQRT((INDIRECT("R[-1]C[-9]",0) - INDIRECT("RC[-9]",0))^2 + (INDIRECT("R[-1]C[-8]",0) - INDIRECT("RC[-8]",0))^2)</f>
        <v>7.3869141053622647</v>
      </c>
    </row>
    <row r="22" spans="1:11" x14ac:dyDescent="0.25">
      <c r="A22">
        <v>-1.22</v>
      </c>
      <c r="B22">
        <v>-2</v>
      </c>
      <c r="C22">
        <v>-3.5</v>
      </c>
      <c r="E22">
        <f ca="1">SQRT((INDIRECT("R[-1]C[-4]",0) - INDIRECT("RC[-4]",0))^2 + (INDIRECT("R[-1]C[-3]",0) - INDIRECT("RC[-3]",0))^2 + (INDIRECT("R[-1]C[-2]",0) - INDIRECT("RC[-2]",0))^2)</f>
        <v>10.04664122978421</v>
      </c>
      <c r="F22">
        <f t="shared" ca="1" si="4"/>
        <v>7.55</v>
      </c>
      <c r="G22">
        <f t="shared" ca="1" si="4"/>
        <v>5.33</v>
      </c>
      <c r="H22">
        <f t="shared" ca="1" si="4"/>
        <v>3.94</v>
      </c>
      <c r="I22">
        <f ca="1">SQRT((INDIRECT("R[-1]C[-8]",0) - INDIRECT("RC[-8]",0))^2 + (INDIRECT("R[-1]C[-7]",0) - INDIRECT("RC[-7]",0))^2)</f>
        <v>9.2418288233444361</v>
      </c>
      <c r="J22">
        <f ca="1">SQRT((INDIRECT("R[-1]C[-9]",0) - INDIRECT("RC[-9]",0))^2 + (INDIRECT("R[-1]C[-7]",0) - INDIRECT("RC[-7]",0))^2)</f>
        <v>8.516225689822928</v>
      </c>
      <c r="K22">
        <f ca="1">SQRT((INDIRECT("R[-1]C[-9]",0) - INDIRECT("RC[-9]",0))^2 + (INDIRECT("R[-1]C[-8]",0) - INDIRECT("RC[-8]",0))^2)</f>
        <v>6.6281596239076803</v>
      </c>
    </row>
    <row r="23" spans="1:11" x14ac:dyDescent="0.25">
      <c r="A23">
        <v>-4.0090000000000003</v>
      </c>
      <c r="B23">
        <v>2.11</v>
      </c>
      <c r="C23">
        <v>0.77</v>
      </c>
      <c r="E23">
        <f ca="1">SQRT((INDIRECT("R[-1]C[-4]",0) - INDIRECT("RC[-4]",0))^2 + (INDIRECT("R[-1]C[-3]",0) - INDIRECT("RC[-3]",0))^2 + (INDIRECT("R[-1]C[-2]",0) - INDIRECT("RC[-2]",0))^2)</f>
        <v>6.5500779384676022</v>
      </c>
      <c r="F23">
        <f t="shared" ca="1" si="4"/>
        <v>2.7890000000000006</v>
      </c>
      <c r="G23">
        <f t="shared" ca="1" si="4"/>
        <v>4.1099999999999994</v>
      </c>
      <c r="H23">
        <f t="shared" ca="1" si="4"/>
        <v>4.2699999999999996</v>
      </c>
      <c r="I23">
        <f ca="1">SQRT((INDIRECT("R[-1]C[-8]",0) - INDIRECT("RC[-8]",0))^2 + (INDIRECT("R[-1]C[-7]",0) - INDIRECT("RC[-7]",0))^2)</f>
        <v>4.9669528888444265</v>
      </c>
      <c r="J23">
        <f ca="1">SQRT((INDIRECT("R[-1]C[-9]",0) - INDIRECT("RC[-9]",0))^2 + (INDIRECT("R[-1]C[-7]",0) - INDIRECT("RC[-7]",0))^2)</f>
        <v>5.1001393118227663</v>
      </c>
      <c r="K23">
        <f ca="1">SQRT((INDIRECT("R[-1]C[-9]",0) - INDIRECT("RC[-9]",0))^2 + (INDIRECT("R[-1]C[-8]",0) - INDIRECT("RC[-8]",0))^2)</f>
        <v>5.9266347955648486</v>
      </c>
    </row>
    <row r="24" spans="1:11" x14ac:dyDescent="0.25">
      <c r="D24" t="s">
        <v>4</v>
      </c>
      <c r="E24">
        <f t="shared" ref="E24:K24" ca="1" si="5">(INDIRECT("R[-1]C",0) + INDIRECT("R[-2]C",0) + INDIRECT("R[-3]C",0) + INDIRECT("R[-4]C",0))</f>
        <v>31.95136110789489</v>
      </c>
      <c r="F24">
        <f t="shared" ca="1" si="5"/>
        <v>20.509</v>
      </c>
      <c r="G24">
        <f t="shared" ca="1" si="5"/>
        <v>10.07</v>
      </c>
      <c r="H24">
        <f t="shared" ca="1" si="5"/>
        <v>15.569999999999999</v>
      </c>
      <c r="I24">
        <f t="shared" ca="1" si="5"/>
        <v>24.452100869705902</v>
      </c>
      <c r="J24">
        <f t="shared" ca="1" si="5"/>
        <v>28.945700861091243</v>
      </c>
      <c r="K24">
        <f t="shared" ca="1" si="5"/>
        <v>19.941708524834795</v>
      </c>
    </row>
    <row r="25" spans="1:11" x14ac:dyDescent="0.25">
      <c r="A25" t="s">
        <v>7</v>
      </c>
    </row>
    <row r="26" spans="1:11" x14ac:dyDescent="0.25">
      <c r="A26" t="s">
        <v>0</v>
      </c>
      <c r="B26" t="s">
        <v>1</v>
      </c>
      <c r="C26" t="s">
        <v>2</v>
      </c>
      <c r="D26" t="s">
        <v>10</v>
      </c>
      <c r="E26" t="s">
        <v>9</v>
      </c>
      <c r="F26" t="s">
        <v>13</v>
      </c>
      <c r="G26" t="s">
        <v>12</v>
      </c>
      <c r="H26" t="s">
        <v>11</v>
      </c>
      <c r="I26" t="s">
        <v>15</v>
      </c>
      <c r="J26" t="s">
        <v>16</v>
      </c>
      <c r="K26" t="s">
        <v>17</v>
      </c>
    </row>
    <row r="27" spans="1:11" x14ac:dyDescent="0.25">
      <c r="A27">
        <v>-9</v>
      </c>
      <c r="B27">
        <v>-6</v>
      </c>
      <c r="C27">
        <v>-4</v>
      </c>
    </row>
    <row r="28" spans="1:11" x14ac:dyDescent="0.25">
      <c r="A28">
        <v>-6</v>
      </c>
      <c r="B28">
        <v>-4</v>
      </c>
      <c r="C28">
        <v>-9</v>
      </c>
      <c r="E28">
        <f ca="1">SQRT((INDIRECT("R[-1]C[-4]",0) - INDIRECT("RC[-4]",0))^2 + (INDIRECT("R[-1]C[-3]",0) - INDIRECT("RC[-3]",0))^2 + (INDIRECT("R[-1]C[-2]",0) - INDIRECT("RC[-2]",0))^2)</f>
        <v>6.164414002968976</v>
      </c>
      <c r="F28">
        <f t="shared" ref="F28:H31" ca="1" si="6">SQRT((INDIRECT("R[-1]C[-5]",0) - INDIRECT("RC[-5]",0))^2)</f>
        <v>3</v>
      </c>
      <c r="G28">
        <f t="shared" ca="1" si="6"/>
        <v>2</v>
      </c>
      <c r="H28">
        <f t="shared" ca="1" si="6"/>
        <v>5</v>
      </c>
      <c r="I28">
        <f ca="1">SQRT((INDIRECT("R[-1]C[-8]",0) - INDIRECT("RC[-8]",0))^2 + (INDIRECT("R[-1]C[-7]",0) - INDIRECT("RC[-7]",0))^2)</f>
        <v>3.6055512754639891</v>
      </c>
      <c r="J28">
        <f ca="1">SQRT((INDIRECT("R[-1]C[-9]",0) - INDIRECT("RC[-9]",0))^2 + (INDIRECT("R[-1]C[-7]",0) - INDIRECT("RC[-7]",0))^2)</f>
        <v>5.8309518948453007</v>
      </c>
      <c r="K28">
        <f ca="1">SQRT((INDIRECT("R[-1]C[-9]",0) - INDIRECT("RC[-9]",0))^2 + (INDIRECT("R[-1]C[-8]",0) - INDIRECT("RC[-8]",0))^2)</f>
        <v>5.3851648071345037</v>
      </c>
    </row>
    <row r="29" spans="1:11" x14ac:dyDescent="0.25">
      <c r="A29">
        <v>-4</v>
      </c>
      <c r="B29">
        <v>-6</v>
      </c>
      <c r="C29">
        <v>-9</v>
      </c>
      <c r="E29">
        <f ca="1">SQRT((INDIRECT("R[-1]C[-4]",0) - INDIRECT("RC[-4]",0))^2 + (INDIRECT("R[-1]C[-3]",0) - INDIRECT("RC[-3]",0))^2 + (INDIRECT("R[-1]C[-2]",0) - INDIRECT("RC[-2]",0))^2)</f>
        <v>2.8284271247461903</v>
      </c>
      <c r="F29">
        <f t="shared" ca="1" si="6"/>
        <v>2</v>
      </c>
      <c r="G29">
        <f t="shared" ca="1" si="6"/>
        <v>2</v>
      </c>
      <c r="H29">
        <f t="shared" ca="1" si="6"/>
        <v>0</v>
      </c>
      <c r="I29">
        <f ca="1">SQRT((INDIRECT("R[-1]C[-8]",0) - INDIRECT("RC[-8]",0))^2 + (INDIRECT("R[-1]C[-7]",0) - INDIRECT("RC[-7]",0))^2)</f>
        <v>2.8284271247461903</v>
      </c>
      <c r="J29">
        <f ca="1">SQRT((INDIRECT("R[-1]C[-9]",0) - INDIRECT("RC[-9]",0))^2 + (INDIRECT("R[-1]C[-7]",0) - INDIRECT("RC[-7]",0))^2)</f>
        <v>2</v>
      </c>
      <c r="K29">
        <f ca="1">SQRT((INDIRECT("R[-1]C[-9]",0) - INDIRECT("RC[-9]",0))^2 + (INDIRECT("R[-1]C[-8]",0) - INDIRECT("RC[-8]",0))^2)</f>
        <v>2</v>
      </c>
    </row>
    <row r="30" spans="1:11" x14ac:dyDescent="0.25">
      <c r="A30">
        <v>-4</v>
      </c>
      <c r="B30">
        <v>-9</v>
      </c>
      <c r="C30">
        <v>-6</v>
      </c>
      <c r="E30">
        <f ca="1">SQRT((INDIRECT("R[-1]C[-4]",0) - INDIRECT("RC[-4]",0))^2 + (INDIRECT("R[-1]C[-3]",0) - INDIRECT("RC[-3]",0))^2 + (INDIRECT("R[-1]C[-2]",0) - INDIRECT("RC[-2]",0))^2)</f>
        <v>4.2426406871192848</v>
      </c>
      <c r="F30">
        <f t="shared" ca="1" si="6"/>
        <v>0</v>
      </c>
      <c r="G30">
        <f t="shared" ca="1" si="6"/>
        <v>3</v>
      </c>
      <c r="H30">
        <f t="shared" ca="1" si="6"/>
        <v>3</v>
      </c>
      <c r="I30">
        <f ca="1">SQRT((INDIRECT("R[-1]C[-8]",0) - INDIRECT("RC[-8]",0))^2 + (INDIRECT("R[-1]C[-7]",0) - INDIRECT("RC[-7]",0))^2)</f>
        <v>3</v>
      </c>
      <c r="J30">
        <f ca="1">SQRT((INDIRECT("R[-1]C[-9]",0) - INDIRECT("RC[-9]",0))^2 + (INDIRECT("R[-1]C[-7]",0) - INDIRECT("RC[-7]",0))^2)</f>
        <v>3</v>
      </c>
      <c r="K30">
        <f ca="1">SQRT((INDIRECT("R[-1]C[-9]",0) - INDIRECT("RC[-9]",0))^2 + (INDIRECT("R[-1]C[-8]",0) - INDIRECT("RC[-8]",0))^2)</f>
        <v>4.2426406871192848</v>
      </c>
    </row>
    <row r="31" spans="1:11" x14ac:dyDescent="0.25">
      <c r="A31">
        <v>1</v>
      </c>
      <c r="B31">
        <v>1</v>
      </c>
      <c r="C31">
        <v>1</v>
      </c>
      <c r="E31">
        <f ca="1">SQRT((INDIRECT("R[-1]C[-4]",0) - INDIRECT("RC[-4]",0))^2 + (INDIRECT("R[-1]C[-3]",0) - INDIRECT("RC[-3]",0))^2 + (INDIRECT("R[-1]C[-2]",0) - INDIRECT("RC[-2]",0))^2)</f>
        <v>13.19090595827292</v>
      </c>
      <c r="F31">
        <f t="shared" ca="1" si="6"/>
        <v>5</v>
      </c>
      <c r="G31">
        <f t="shared" ca="1" si="6"/>
        <v>10</v>
      </c>
      <c r="H31">
        <f t="shared" ca="1" si="6"/>
        <v>7</v>
      </c>
      <c r="I31">
        <f ca="1">SQRT((INDIRECT("R[-1]C[-8]",0) - INDIRECT("RC[-8]",0))^2 + (INDIRECT("R[-1]C[-7]",0) - INDIRECT("RC[-7]",0))^2)</f>
        <v>11.180339887498949</v>
      </c>
      <c r="J31">
        <f ca="1">SQRT((INDIRECT("R[-1]C[-9]",0) - INDIRECT("RC[-9]",0))^2 + (INDIRECT("R[-1]C[-7]",0) - INDIRECT("RC[-7]",0))^2)</f>
        <v>8.6023252670426267</v>
      </c>
      <c r="K31">
        <f ca="1">SQRT((INDIRECT("R[-1]C[-9]",0) - INDIRECT("RC[-9]",0))^2 + (INDIRECT("R[-1]C[-8]",0) - INDIRECT("RC[-8]",0))^2)</f>
        <v>12.206555615733702</v>
      </c>
    </row>
    <row r="32" spans="1:11" x14ac:dyDescent="0.25">
      <c r="D32" t="s">
        <v>4</v>
      </c>
      <c r="E32">
        <f t="shared" ref="E32:K32" ca="1" si="7">(INDIRECT("R[-1]C",0) + INDIRECT("R[-2]C",0) + INDIRECT("R[-3]C",0) + INDIRECT("R[-4]C",0))</f>
        <v>26.426387773107372</v>
      </c>
      <c r="F32">
        <f t="shared" ca="1" si="7"/>
        <v>10</v>
      </c>
      <c r="G32">
        <f t="shared" ca="1" si="7"/>
        <v>17</v>
      </c>
      <c r="H32">
        <f t="shared" ca="1" si="7"/>
        <v>15</v>
      </c>
      <c r="I32">
        <f t="shared" ca="1" si="7"/>
        <v>20.614318287709128</v>
      </c>
      <c r="J32">
        <f t="shared" ca="1" si="7"/>
        <v>19.433277161887929</v>
      </c>
      <c r="K32">
        <f t="shared" ca="1" si="7"/>
        <v>23.834361109987491</v>
      </c>
    </row>
    <row r="33" spans="1:11" x14ac:dyDescent="0.25">
      <c r="A33" t="s">
        <v>8</v>
      </c>
    </row>
    <row r="34" spans="1:11" x14ac:dyDescent="0.25">
      <c r="A34" t="s">
        <v>0</v>
      </c>
      <c r="B34" t="s">
        <v>1</v>
      </c>
      <c r="C34" t="s">
        <v>2</v>
      </c>
      <c r="D34" t="s">
        <v>10</v>
      </c>
      <c r="E34" t="s">
        <v>9</v>
      </c>
      <c r="F34" t="s">
        <v>13</v>
      </c>
      <c r="G34" t="s">
        <v>12</v>
      </c>
      <c r="H34" t="s">
        <v>11</v>
      </c>
      <c r="I34" t="s">
        <v>15</v>
      </c>
      <c r="J34" t="s">
        <v>16</v>
      </c>
      <c r="K34" t="s">
        <v>17</v>
      </c>
    </row>
    <row r="35" spans="1:11" x14ac:dyDescent="0.25">
      <c r="A35">
        <v>0.9</v>
      </c>
      <c r="B35">
        <v>2.99</v>
      </c>
      <c r="C35">
        <v>1.1100000000000001</v>
      </c>
    </row>
    <row r="36" spans="1:11" x14ac:dyDescent="0.25">
      <c r="A36">
        <v>-0.6</v>
      </c>
      <c r="B36">
        <v>3.7</v>
      </c>
      <c r="C36">
        <v>3.4</v>
      </c>
      <c r="E36">
        <f ca="1">SQRT((INDIRECT("R[-1]C[-4]",0) - INDIRECT("RC[-4]",0))^2 + (INDIRECT("R[-1]C[-3]",0) - INDIRECT("RC[-3]",0))^2 + (INDIRECT("R[-1]C[-2]",0) - INDIRECT("RC[-2]",0))^2)</f>
        <v>2.8281089087940021</v>
      </c>
      <c r="F36">
        <f t="shared" ref="F36:H39" ca="1" si="8">SQRT((INDIRECT("R[-1]C[-5]",0) - INDIRECT("RC[-5]",0))^2)</f>
        <v>1.5</v>
      </c>
      <c r="G36">
        <f t="shared" ca="1" si="8"/>
        <v>0.71</v>
      </c>
      <c r="H36">
        <f t="shared" ca="1" si="8"/>
        <v>2.29</v>
      </c>
      <c r="I36">
        <f ca="1">SQRT((INDIRECT("R[-1]C[-8]",0) - INDIRECT("RC[-8]",0))^2 + (INDIRECT("R[-1]C[-7]",0) - INDIRECT("RC[-7]",0))^2)</f>
        <v>1.6595481312694731</v>
      </c>
      <c r="J36">
        <f ca="1">SQRT((INDIRECT("R[-1]C[-9]",0) - INDIRECT("RC[-9]",0))^2 + (INDIRECT("R[-1]C[-7]",0) - INDIRECT("RC[-7]",0))^2)</f>
        <v>2.7375353878991229</v>
      </c>
      <c r="K36">
        <f ca="1">SQRT((INDIRECT("R[-1]C[-9]",0) - INDIRECT("RC[-9]",0))^2 + (INDIRECT("R[-1]C[-8]",0) - INDIRECT("RC[-8]",0))^2)</f>
        <v>2.3975404063331238</v>
      </c>
    </row>
    <row r="37" spans="1:11" x14ac:dyDescent="0.25">
      <c r="A37">
        <v>-8</v>
      </c>
      <c r="B37">
        <v>5.7</v>
      </c>
      <c r="C37">
        <v>7.8</v>
      </c>
      <c r="E37">
        <f ca="1">SQRT((INDIRECT("R[-1]C[-4]",0) - INDIRECT("RC[-4]",0))^2 + (INDIRECT("R[-1]C[-3]",0) - INDIRECT("RC[-3]",0))^2 + (INDIRECT("R[-1]C[-2]",0) - INDIRECT("RC[-2]",0))^2)</f>
        <v>8.8385519175937421</v>
      </c>
      <c r="F37">
        <f t="shared" ca="1" si="8"/>
        <v>7.4</v>
      </c>
      <c r="G37">
        <f t="shared" ca="1" si="8"/>
        <v>2</v>
      </c>
      <c r="H37">
        <f t="shared" ca="1" si="8"/>
        <v>4.4000000000000004</v>
      </c>
      <c r="I37">
        <f ca="1">SQRT((INDIRECT("R[-1]C[-8]",0) - INDIRECT("RC[-8]",0))^2 + (INDIRECT("R[-1]C[-7]",0) - INDIRECT("RC[-7]",0))^2)</f>
        <v>7.6655071586947203</v>
      </c>
      <c r="J37">
        <f ca="1">SQRT((INDIRECT("R[-1]C[-9]",0) - INDIRECT("RC[-9]",0))^2 + (INDIRECT("R[-1]C[-7]",0) - INDIRECT("RC[-7]",0))^2)</f>
        <v>8.6092973000123543</v>
      </c>
      <c r="K37">
        <f ca="1">SQRT((INDIRECT("R[-1]C[-9]",0) - INDIRECT("RC[-9]",0))^2 + (INDIRECT("R[-1]C[-8]",0) - INDIRECT("RC[-8]",0))^2)</f>
        <v>4.8332183894378291</v>
      </c>
    </row>
    <row r="38" spans="1:11" x14ac:dyDescent="0.25">
      <c r="A38">
        <v>-5</v>
      </c>
      <c r="B38">
        <v>2.2999999999999998</v>
      </c>
      <c r="C38">
        <v>5.6</v>
      </c>
      <c r="E38">
        <f ca="1">SQRT((INDIRECT("R[-1]C[-4]",0) - INDIRECT("RC[-4]",0))^2 + (INDIRECT("R[-1]C[-3]",0) - INDIRECT("RC[-3]",0))^2 + (INDIRECT("R[-1]C[-2]",0) - INDIRECT("RC[-2]",0))^2)</f>
        <v>5.0398412673416608</v>
      </c>
      <c r="F38">
        <f t="shared" ca="1" si="8"/>
        <v>3</v>
      </c>
      <c r="G38">
        <f t="shared" ca="1" si="8"/>
        <v>3.4000000000000004</v>
      </c>
      <c r="H38">
        <f t="shared" ca="1" si="8"/>
        <v>2.2000000000000002</v>
      </c>
      <c r="I38">
        <f ca="1">SQRT((INDIRECT("R[-1]C[-8]",0) - INDIRECT("RC[-8]",0))^2 + (INDIRECT("R[-1]C[-7]",0) - INDIRECT("RC[-7]",0))^2)</f>
        <v>4.5343136195018534</v>
      </c>
      <c r="J38">
        <f ca="1">SQRT((INDIRECT("R[-1]C[-9]",0) - INDIRECT("RC[-9]",0))^2 + (INDIRECT("R[-1]C[-7]",0) - INDIRECT("RC[-7]",0))^2)</f>
        <v>3.7202150475476548</v>
      </c>
      <c r="K38">
        <f ca="1">SQRT((INDIRECT("R[-1]C[-9]",0) - INDIRECT("RC[-9]",0))^2 + (INDIRECT("R[-1]C[-8]",0) - INDIRECT("RC[-8]",0))^2)</f>
        <v>4.0496913462633177</v>
      </c>
    </row>
    <row r="39" spans="1:11" x14ac:dyDescent="0.25">
      <c r="A39">
        <v>1.1000000000000001</v>
      </c>
      <c r="B39">
        <v>1.2</v>
      </c>
      <c r="C39">
        <v>11.1</v>
      </c>
      <c r="E39">
        <f ca="1">SQRT((INDIRECT("R[-1]C[-4]",0) - INDIRECT("RC[-4]",0))^2 + (INDIRECT("R[-1]C[-3]",0) - INDIRECT("RC[-3]",0))^2 + (INDIRECT("R[-1]C[-2]",0) - INDIRECT("RC[-2]",0))^2)</f>
        <v>8.286736390159879</v>
      </c>
      <c r="F39">
        <f t="shared" ca="1" si="8"/>
        <v>6.1</v>
      </c>
      <c r="G39">
        <f t="shared" ca="1" si="8"/>
        <v>1.0999999999999999</v>
      </c>
      <c r="H39">
        <f t="shared" ca="1" si="8"/>
        <v>5.5</v>
      </c>
      <c r="I39">
        <f ca="1">SQRT((INDIRECT("R[-1]C[-8]",0) - INDIRECT("RC[-8]",0))^2 + (INDIRECT("R[-1]C[-7]",0) - INDIRECT("RC[-7]",0))^2)</f>
        <v>6.1983868869246939</v>
      </c>
      <c r="J39">
        <f ca="1">SQRT((INDIRECT("R[-1]C[-9]",0) - INDIRECT("RC[-9]",0))^2 + (INDIRECT("R[-1]C[-7]",0) - INDIRECT("RC[-7]",0))^2)</f>
        <v>8.2134036793524281</v>
      </c>
      <c r="K39">
        <f ca="1">SQRT((INDIRECT("R[-1]C[-9]",0) - INDIRECT("RC[-9]",0))^2 + (INDIRECT("R[-1]C[-8]",0) - INDIRECT("RC[-8]",0))^2)</f>
        <v>5.6089214649520631</v>
      </c>
    </row>
    <row r="40" spans="1:11" x14ac:dyDescent="0.25">
      <c r="D40" t="s">
        <v>4</v>
      </c>
      <c r="E40">
        <f t="shared" ref="E40:K40" ca="1" si="9">(INDIRECT("R[-1]C",0) + INDIRECT("R[-2]C",0) + INDIRECT("R[-3]C",0) + INDIRECT("R[-4]C",0))</f>
        <v>24.993238483889286</v>
      </c>
      <c r="F40">
        <f t="shared" ca="1" si="9"/>
        <v>18</v>
      </c>
      <c r="G40">
        <f t="shared" ca="1" si="9"/>
        <v>7.21</v>
      </c>
      <c r="H40">
        <f t="shared" ca="1" si="9"/>
        <v>14.39</v>
      </c>
      <c r="I40">
        <f t="shared" ca="1" si="9"/>
        <v>20.05775579639074</v>
      </c>
      <c r="J40">
        <f t="shared" ca="1" si="9"/>
        <v>23.280451414811559</v>
      </c>
      <c r="K40">
        <f t="shared" ca="1" si="9"/>
        <v>16.889371606986334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105"/>
  <sheetViews>
    <sheetView zoomScale="85" zoomScaleNormal="85" workbookViewId="0">
      <selection activeCell="D16" sqref="D16"/>
    </sheetView>
  </sheetViews>
  <sheetFormatPr defaultRowHeight="15" x14ac:dyDescent="0.25"/>
  <cols>
    <col min="4" max="11" width="13.7109375" customWidth="1"/>
  </cols>
  <sheetData>
    <row r="2" spans="1:11" x14ac:dyDescent="0.25">
      <c r="A2" t="s">
        <v>19</v>
      </c>
      <c r="B2" t="s">
        <v>20</v>
      </c>
    </row>
    <row r="3" spans="1:11" x14ac:dyDescent="0.25">
      <c r="A3" t="s">
        <v>0</v>
      </c>
      <c r="B3" t="s">
        <v>1</v>
      </c>
      <c r="C3" t="s">
        <v>2</v>
      </c>
      <c r="D3" t="s">
        <v>10</v>
      </c>
      <c r="E3" t="s">
        <v>14</v>
      </c>
      <c r="F3" t="s">
        <v>13</v>
      </c>
      <c r="G3" t="s">
        <v>12</v>
      </c>
      <c r="H3" t="s">
        <v>11</v>
      </c>
      <c r="I3" t="s">
        <v>15</v>
      </c>
      <c r="J3" t="s">
        <v>16</v>
      </c>
      <c r="K3" t="s">
        <v>17</v>
      </c>
    </row>
    <row r="4" spans="1:11" x14ac:dyDescent="0.25">
      <c r="A4">
        <v>0</v>
      </c>
      <c r="B4">
        <v>0</v>
      </c>
      <c r="C4">
        <v>0</v>
      </c>
      <c r="D4">
        <f ca="1">SQRT(INDIRECT("RC[-3]",0)^2 + INDIRECT("RC[-2]",0)^2 + INDIRECT("RC[-1]",0)^2)</f>
        <v>0</v>
      </c>
    </row>
    <row r="5" spans="1:11" x14ac:dyDescent="0.25">
      <c r="A5">
        <v>1</v>
      </c>
      <c r="B5">
        <v>1</v>
      </c>
      <c r="C5">
        <v>1</v>
      </c>
      <c r="D5">
        <f ca="1">SQRT(INDIRECT("RC[-3]",0)^2 + INDIRECT("RC[-2]",0)^2 + INDIRECT("RC[-1]",0)^2)</f>
        <v>1.7320508075688772</v>
      </c>
      <c r="E5">
        <f ca="1">SQRT((INDIRECT("R[-1]C[-4]",0) - INDIRECT("RC[-4]",0))^2 + (INDIRECT("R[-1]C[-3]",0) - INDIRECT("RC[-3]",0))^2 + (INDIRECT("R[-1]C[-2]",0) - INDIRECT("RC[-2]",0))^2)</f>
        <v>1.7320508075688772</v>
      </c>
      <c r="F5">
        <f t="shared" ref="F5:H8" ca="1" si="0">SQRT((INDIRECT("R[-1]C[-5]",0) - INDIRECT("RC[-5]",0))^2)</f>
        <v>1</v>
      </c>
      <c r="G5">
        <f t="shared" ca="1" si="0"/>
        <v>1</v>
      </c>
      <c r="H5">
        <f t="shared" ca="1" si="0"/>
        <v>1</v>
      </c>
      <c r="I5">
        <f ca="1">SQRT((INDIRECT("R[-1]C[-8]",0) - INDIRECT("RC[-8]",0))^2 + (INDIRECT("R[-1]C[-7]",0) - INDIRECT("RC[-7]",0))^2)</f>
        <v>1.4142135623730951</v>
      </c>
      <c r="J5">
        <f ca="1">SQRT((INDIRECT("R[-1]C[-9]",0) - INDIRECT("RC[-9]",0))^2 + (INDIRECT("R[-1]C[-7]",0) - INDIRECT("RC[-7]",0))^2)</f>
        <v>1.4142135623730951</v>
      </c>
      <c r="K5">
        <f ca="1">SQRT((INDIRECT("R[-1]C[-9]",0) - INDIRECT("RC[-9]",0))^2 + (INDIRECT("R[-1]C[-8]",0) - INDIRECT("RC[-8]",0))^2)</f>
        <v>1.4142135623730951</v>
      </c>
    </row>
    <row r="6" spans="1:11" x14ac:dyDescent="0.25">
      <c r="A6">
        <v>2</v>
      </c>
      <c r="B6">
        <v>2</v>
      </c>
      <c r="C6">
        <v>2</v>
      </c>
      <c r="D6">
        <f ca="1">SQRT(INDIRECT("RC[-3]",0)^2 + INDIRECT("RC[-2]",0)^2 + INDIRECT("RC[-1]",0)^2)</f>
        <v>3.4641016151377544</v>
      </c>
      <c r="E6">
        <f ca="1">SQRT((INDIRECT("R[-1]C[-4]",0) - INDIRECT("RC[-4]",0))^2 + (INDIRECT("R[-1]C[-3]",0) - INDIRECT("RC[-3]",0))^2 + (INDIRECT("R[-1]C[-2]",0) - INDIRECT("RC[-2]",0))^2)</f>
        <v>1.7320508075688772</v>
      </c>
      <c r="F6">
        <f t="shared" ca="1" si="0"/>
        <v>1</v>
      </c>
      <c r="G6">
        <f t="shared" ca="1" si="0"/>
        <v>1</v>
      </c>
      <c r="H6">
        <f t="shared" ca="1" si="0"/>
        <v>1</v>
      </c>
      <c r="I6">
        <f ca="1">SQRT((INDIRECT("R[-1]C[-8]",0) - INDIRECT("RC[-8]",0))^2 + (INDIRECT("R[-1]C[-7]",0) - INDIRECT("RC[-7]",0))^2)</f>
        <v>1.4142135623730951</v>
      </c>
      <c r="J6">
        <f ca="1">SQRT((INDIRECT("R[-1]C[-9]",0) - INDIRECT("RC[-9]",0))^2 + (INDIRECT("R[-1]C[-7]",0) - INDIRECT("RC[-7]",0))^2)</f>
        <v>1.4142135623730951</v>
      </c>
      <c r="K6">
        <f ca="1">SQRT((INDIRECT("R[-1]C[-9]",0) - INDIRECT("RC[-9]",0))^2 + (INDIRECT("R[-1]C[-8]",0) - INDIRECT("RC[-8]",0))^2)</f>
        <v>1.4142135623730951</v>
      </c>
    </row>
    <row r="7" spans="1:11" x14ac:dyDescent="0.25">
      <c r="A7">
        <v>3</v>
      </c>
      <c r="B7">
        <v>3</v>
      </c>
      <c r="C7">
        <v>3</v>
      </c>
      <c r="D7">
        <f ca="1">SQRT(INDIRECT("RC[-3]",0)^2 + INDIRECT("RC[-2]",0)^2 + INDIRECT("RC[-1]",0)^2)</f>
        <v>5.196152422706632</v>
      </c>
      <c r="E7">
        <f ca="1">SQRT((INDIRECT("R[-1]C[-4]",0) - INDIRECT("RC[-4]",0))^2 + (INDIRECT("R[-1]C[-3]",0) - INDIRECT("RC[-3]",0))^2 + (INDIRECT("R[-1]C[-2]",0) - INDIRECT("RC[-2]",0))^2)</f>
        <v>1.7320508075688772</v>
      </c>
      <c r="F7">
        <f t="shared" ca="1" si="0"/>
        <v>1</v>
      </c>
      <c r="G7">
        <f t="shared" ca="1" si="0"/>
        <v>1</v>
      </c>
      <c r="H7">
        <f t="shared" ca="1" si="0"/>
        <v>1</v>
      </c>
      <c r="I7">
        <f ca="1">SQRT((INDIRECT("R[-1]C[-8]",0) - INDIRECT("RC[-8]",0))^2 + (INDIRECT("R[-1]C[-7]",0) - INDIRECT("RC[-7]",0))^2)</f>
        <v>1.4142135623730951</v>
      </c>
      <c r="J7">
        <f ca="1">SQRT((INDIRECT("R[-1]C[-9]",0) - INDIRECT("RC[-9]",0))^2 + (INDIRECT("R[-1]C[-7]",0) - INDIRECT("RC[-7]",0))^2)</f>
        <v>1.4142135623730951</v>
      </c>
      <c r="K7">
        <f ca="1">SQRT((INDIRECT("R[-1]C[-9]",0) - INDIRECT("RC[-9]",0))^2 + (INDIRECT("R[-1]C[-8]",0) - INDIRECT("RC[-8]",0))^2)</f>
        <v>1.4142135623730951</v>
      </c>
    </row>
    <row r="8" spans="1:11" x14ac:dyDescent="0.25">
      <c r="A8">
        <v>4</v>
      </c>
      <c r="B8">
        <v>4</v>
      </c>
      <c r="C8">
        <v>4</v>
      </c>
      <c r="D8">
        <f ca="1">SQRT(INDIRECT("RC[-3]",0)^2 + INDIRECT("RC[-2]",0)^2 + INDIRECT("RC[-1]",0)^2)</f>
        <v>6.9282032302755088</v>
      </c>
      <c r="E8">
        <f ca="1">SQRT((INDIRECT("R[-1]C[-4]",0) - INDIRECT("RC[-4]",0))^2 + (INDIRECT("R[-1]C[-3]",0) - INDIRECT("RC[-3]",0))^2 + (INDIRECT("R[-1]C[-2]",0) - INDIRECT("RC[-2]",0))^2)</f>
        <v>1.7320508075688772</v>
      </c>
      <c r="F8">
        <f t="shared" ca="1" si="0"/>
        <v>1</v>
      </c>
      <c r="G8">
        <f t="shared" ca="1" si="0"/>
        <v>1</v>
      </c>
      <c r="H8">
        <f t="shared" ca="1" si="0"/>
        <v>1</v>
      </c>
      <c r="I8">
        <f ca="1">SQRT((INDIRECT("R[-1]C[-8]",0) - INDIRECT("RC[-8]",0))^2 + (INDIRECT("R[-1]C[-7]",0) - INDIRECT("RC[-7]",0))^2)</f>
        <v>1.4142135623730951</v>
      </c>
      <c r="J8">
        <f ca="1">SQRT((INDIRECT("R[-1]C[-9]",0) - INDIRECT("RC[-9]",0))^2 + (INDIRECT("R[-1]C[-7]",0) - INDIRECT("RC[-7]",0))^2)</f>
        <v>1.4142135623730951</v>
      </c>
      <c r="K8">
        <f ca="1">SQRT((INDIRECT("R[-1]C[-9]",0) - INDIRECT("RC[-9]",0))^2 + (INDIRECT("R[-1]C[-8]",0) - INDIRECT("RC[-8]",0))^2)</f>
        <v>1.4142135623730951</v>
      </c>
    </row>
    <row r="9" spans="1:11" x14ac:dyDescent="0.25">
      <c r="D9" t="s">
        <v>4</v>
      </c>
      <c r="E9">
        <f t="shared" ref="E9:K9" ca="1" si="1">(INDIRECT("R[-1]C",0) + INDIRECT("R[-2]C",0) + INDIRECT("R[-3]C",0) + INDIRECT("R[-4]C",0))</f>
        <v>6.9282032302755088</v>
      </c>
      <c r="F9">
        <f t="shared" ca="1" si="1"/>
        <v>4</v>
      </c>
      <c r="G9">
        <f t="shared" ca="1" si="1"/>
        <v>4</v>
      </c>
      <c r="H9">
        <f t="shared" ca="1" si="1"/>
        <v>4</v>
      </c>
      <c r="I9">
        <f t="shared" ca="1" si="1"/>
        <v>5.6568542494923806</v>
      </c>
      <c r="J9">
        <f t="shared" ca="1" si="1"/>
        <v>5.6568542494923806</v>
      </c>
      <c r="K9">
        <f t="shared" ca="1" si="1"/>
        <v>5.6568542494923806</v>
      </c>
    </row>
    <row r="10" spans="1:11" x14ac:dyDescent="0.25">
      <c r="A10" t="s">
        <v>18</v>
      </c>
    </row>
    <row r="11" spans="1:11" x14ac:dyDescent="0.25">
      <c r="A11" s="1" t="s">
        <v>21</v>
      </c>
      <c r="B11" s="1" t="s">
        <v>22</v>
      </c>
      <c r="C11" s="1" t="s">
        <v>23</v>
      </c>
      <c r="D11" t="s">
        <v>10</v>
      </c>
      <c r="E11" t="s">
        <v>14</v>
      </c>
      <c r="F11" t="s">
        <v>13</v>
      </c>
      <c r="G11" t="s">
        <v>12</v>
      </c>
      <c r="H11" t="s">
        <v>11</v>
      </c>
      <c r="I11" t="s">
        <v>15</v>
      </c>
      <c r="J11" t="s">
        <v>16</v>
      </c>
      <c r="K11" t="s">
        <v>17</v>
      </c>
    </row>
    <row r="12" spans="1:11" x14ac:dyDescent="0.25">
      <c r="A12">
        <f>AxisValue(A11,4)</f>
        <v>1.5</v>
      </c>
      <c r="B12">
        <f>AxisValue(B11,4)</f>
        <v>2.7</v>
      </c>
      <c r="C12">
        <f>AxisValue(C11,4)</f>
        <v>7.8</v>
      </c>
      <c r="D12">
        <f ca="1">SQRT(INDIRECT("RC[-3]",0)^2 + INDIRECT("RC[-2]",0)^2 + INDIRECT("RC[-1]",0)^2)</f>
        <v>8.3892788724657379</v>
      </c>
    </row>
    <row r="13" spans="1:11" x14ac:dyDescent="0.25">
      <c r="A13">
        <f>AxisValue(A11,5)</f>
        <v>9</v>
      </c>
      <c r="B13">
        <f>AxisValue(B11,5)</f>
        <v>1</v>
      </c>
      <c r="C13">
        <f>AxisValue(C11,5)</f>
        <v>-3.5</v>
      </c>
      <c r="D13">
        <f ca="1">SQRT(INDIRECT("RC[-3]",0)^2 + INDIRECT("RC[-2]",0)^2 + INDIRECT("RC[-1]",0)^2)</f>
        <v>9.7082439194737997</v>
      </c>
      <c r="E13">
        <f ca="1">SQRT((INDIRECT("R[-1]C[-4]",0) - INDIRECT("RC[-4]",0))^2 + (INDIRECT("R[-1]C[-3]",0) - INDIRECT("RC[-3]",0))^2 + (INDIRECT("R[-1]C[-2]",0) - INDIRECT("RC[-2]",0))^2)</f>
        <v>13.668577102244404</v>
      </c>
      <c r="F13">
        <f t="shared" ref="F13:H16" ca="1" si="2">SQRT((INDIRECT("R[-1]C[-5]",0) - INDIRECT("RC[-5]",0))^2)</f>
        <v>7.5</v>
      </c>
      <c r="G13">
        <f t="shared" ca="1" si="2"/>
        <v>1.7000000000000002</v>
      </c>
      <c r="H13">
        <f t="shared" ca="1" si="2"/>
        <v>11.3</v>
      </c>
      <c r="I13">
        <f ca="1">SQRT((INDIRECT("R[-1]C[-8]",0) - INDIRECT("RC[-8]",0))^2 + (INDIRECT("R[-1]C[-7]",0) - INDIRECT("RC[-7]",0))^2)</f>
        <v>7.6902535718921516</v>
      </c>
      <c r="J13">
        <f ca="1">SQRT((INDIRECT("R[-1]C[-9]",0) - INDIRECT("RC[-9]",0))^2 + (INDIRECT("R[-1]C[-7]",0) - INDIRECT("RC[-7]",0))^2)</f>
        <v>13.56244815658294</v>
      </c>
      <c r="K13">
        <f ca="1">SQRT((INDIRECT("R[-1]C[-9]",0) - INDIRECT("RC[-9]",0))^2 + (INDIRECT("R[-1]C[-8]",0) - INDIRECT("RC[-8]",0))^2)</f>
        <v>11.427160627207444</v>
      </c>
    </row>
    <row r="14" spans="1:11" x14ac:dyDescent="0.25">
      <c r="A14">
        <f>AxisValue(A11,6)</f>
        <v>6.33</v>
      </c>
      <c r="B14">
        <f>AxisValue(B11,6)</f>
        <v>3.33</v>
      </c>
      <c r="C14">
        <f>AxisValue(C11,6)</f>
        <v>0.44</v>
      </c>
      <c r="D14">
        <f ca="1">SQRT(INDIRECT("RC[-3]",0)^2 + INDIRECT("RC[-2]",0)^2 + INDIRECT("RC[-1]",0)^2)</f>
        <v>7.1659891152582693</v>
      </c>
      <c r="E14">
        <f ca="1">SQRT((INDIRECT("R[-1]C[-4]",0) - INDIRECT("RC[-4]",0))^2 + (INDIRECT("R[-1]C[-3]",0) - INDIRECT("RC[-3]",0))^2 + (INDIRECT("R[-1]C[-2]",0) - INDIRECT("RC[-2]",0))^2)</f>
        <v>5.2991886171375331</v>
      </c>
      <c r="F14">
        <f t="shared" ca="1" si="2"/>
        <v>2.67</v>
      </c>
      <c r="G14">
        <f t="shared" ca="1" si="2"/>
        <v>2.33</v>
      </c>
      <c r="H14">
        <f t="shared" ca="1" si="2"/>
        <v>3.94</v>
      </c>
      <c r="I14">
        <f ca="1">SQRT((INDIRECT("R[-1]C[-8]",0) - INDIRECT("RC[-8]",0))^2 + (INDIRECT("R[-1]C[-7]",0) - INDIRECT("RC[-7]",0))^2)</f>
        <v>3.5436986327846784</v>
      </c>
      <c r="J14">
        <f ca="1">SQRT((INDIRECT("R[-1]C[-9]",0) - INDIRECT("RC[-9]",0))^2 + (INDIRECT("R[-1]C[-7]",0) - INDIRECT("RC[-7]",0))^2)</f>
        <v>4.7594642555649056</v>
      </c>
      <c r="K14">
        <f ca="1">SQRT((INDIRECT("R[-1]C[-9]",0) - INDIRECT("RC[-9]",0))^2 + (INDIRECT("R[-1]C[-8]",0) - INDIRECT("RC[-8]",0))^2)</f>
        <v>4.5773900860643284</v>
      </c>
    </row>
    <row r="15" spans="1:11" x14ac:dyDescent="0.25">
      <c r="A15">
        <f>AxisValue(A11,7)</f>
        <v>-1.22</v>
      </c>
      <c r="B15">
        <f>AxisValue(B11,7)</f>
        <v>-2</v>
      </c>
      <c r="C15">
        <f>AxisValue(C11,7)</f>
        <v>-3.5</v>
      </c>
      <c r="D15">
        <f ca="1">SQRT(INDIRECT("RC[-3]",0)^2 + INDIRECT("RC[-2]",0)^2 + INDIRECT("RC[-1]",0)^2)</f>
        <v>4.2116979948709519</v>
      </c>
      <c r="E15">
        <f ca="1">SQRT((INDIRECT("R[-1]C[-4]",0) - INDIRECT("RC[-4]",0))^2 + (INDIRECT("R[-1]C[-3]",0) - INDIRECT("RC[-3]",0))^2 + (INDIRECT("R[-1]C[-2]",0) - INDIRECT("RC[-2]",0))^2)</f>
        <v>10.04664122978421</v>
      </c>
      <c r="F15">
        <f t="shared" ca="1" si="2"/>
        <v>7.55</v>
      </c>
      <c r="G15">
        <f t="shared" ca="1" si="2"/>
        <v>5.33</v>
      </c>
      <c r="H15">
        <f t="shared" ca="1" si="2"/>
        <v>3.94</v>
      </c>
      <c r="I15">
        <f ca="1">SQRT((INDIRECT("R[-1]C[-8]",0) - INDIRECT("RC[-8]",0))^2 + (INDIRECT("R[-1]C[-7]",0) - INDIRECT("RC[-7]",0))^2)</f>
        <v>9.2418288233444361</v>
      </c>
      <c r="J15">
        <f ca="1">SQRT((INDIRECT("R[-1]C[-9]",0) - INDIRECT("RC[-9]",0))^2 + (INDIRECT("R[-1]C[-7]",0) - INDIRECT("RC[-7]",0))^2)</f>
        <v>8.516225689822928</v>
      </c>
      <c r="K15">
        <f ca="1">SQRT((INDIRECT("R[-1]C[-9]",0) - INDIRECT("RC[-9]",0))^2 + (INDIRECT("R[-1]C[-8]",0) - INDIRECT("RC[-8]",0))^2)</f>
        <v>6.6281596239076803</v>
      </c>
    </row>
    <row r="16" spans="1:11" x14ac:dyDescent="0.25">
      <c r="A16">
        <f>AxisValue(A11,8)</f>
        <v>-4.0090000000000003</v>
      </c>
      <c r="B16">
        <f>AxisValue(B11,8)</f>
        <v>2.11</v>
      </c>
      <c r="C16">
        <f>AxisValue(C11,8)</f>
        <v>0.77</v>
      </c>
      <c r="D16">
        <f ca="1">SQRT(INDIRECT("RC[-3]",0)^2 + INDIRECT("RC[-2]",0)^2 + INDIRECT("RC[-1]",0)^2)</f>
        <v>4.5953325233327789</v>
      </c>
      <c r="E16">
        <f ca="1">SQRT((INDIRECT("R[-1]C[-4]",0) - INDIRECT("RC[-4]",0))^2 + (INDIRECT("R[-1]C[-3]",0) - INDIRECT("RC[-3]",0))^2 + (INDIRECT("R[-1]C[-2]",0) - INDIRECT("RC[-2]",0))^2)</f>
        <v>6.5500779384676022</v>
      </c>
      <c r="F16">
        <f t="shared" ca="1" si="2"/>
        <v>2.7890000000000006</v>
      </c>
      <c r="G16">
        <f t="shared" ca="1" si="2"/>
        <v>4.1099999999999994</v>
      </c>
      <c r="H16">
        <f t="shared" ca="1" si="2"/>
        <v>4.2699999999999996</v>
      </c>
      <c r="I16">
        <f ca="1">SQRT((INDIRECT("R[-1]C[-8]",0) - INDIRECT("RC[-8]",0))^2 + (INDIRECT("R[-1]C[-7]",0) - INDIRECT("RC[-7]",0))^2)</f>
        <v>4.9669528888444265</v>
      </c>
      <c r="J16">
        <f ca="1">SQRT((INDIRECT("R[-1]C[-9]",0) - INDIRECT("RC[-9]",0))^2 + (INDIRECT("R[-1]C[-7]",0) - INDIRECT("RC[-7]",0))^2)</f>
        <v>5.1001393118227663</v>
      </c>
      <c r="K16">
        <f ca="1">SQRT((INDIRECT("R[-1]C[-9]",0) - INDIRECT("RC[-9]",0))^2 + (INDIRECT("R[-1]C[-8]",0) - INDIRECT("RC[-8]",0))^2)</f>
        <v>5.9266347955648486</v>
      </c>
    </row>
    <row r="17" spans="1:11" x14ac:dyDescent="0.25">
      <c r="D17" t="s">
        <v>4</v>
      </c>
      <c r="E17">
        <f t="shared" ref="E17:K17" ca="1" si="3">(INDIRECT("R[-1]C",0) + INDIRECT("R[-2]C",0) + INDIRECT("R[-3]C",0) + INDIRECT("R[-4]C",0))</f>
        <v>35.564484887633753</v>
      </c>
      <c r="F17">
        <f t="shared" ca="1" si="3"/>
        <v>20.509</v>
      </c>
      <c r="G17">
        <f t="shared" ca="1" si="3"/>
        <v>13.469999999999999</v>
      </c>
      <c r="H17">
        <f t="shared" ca="1" si="3"/>
        <v>23.45</v>
      </c>
      <c r="I17">
        <f t="shared" ca="1" si="3"/>
        <v>25.442733916865691</v>
      </c>
      <c r="J17">
        <f t="shared" ca="1" si="3"/>
        <v>31.938277413793536</v>
      </c>
      <c r="K17">
        <f t="shared" ca="1" si="3"/>
        <v>28.559345132744298</v>
      </c>
    </row>
    <row r="18" spans="1:11" x14ac:dyDescent="0.25">
      <c r="A18" t="s">
        <v>18</v>
      </c>
    </row>
    <row r="19" spans="1:11" x14ac:dyDescent="0.25">
      <c r="A19" s="1" t="s">
        <v>21</v>
      </c>
      <c r="B19" s="1" t="s">
        <v>22</v>
      </c>
      <c r="C19" s="1" t="s">
        <v>24</v>
      </c>
      <c r="D19" t="s">
        <v>10</v>
      </c>
      <c r="E19" t="s">
        <v>14</v>
      </c>
      <c r="F19" t="s">
        <v>13</v>
      </c>
      <c r="G19" t="s">
        <v>12</v>
      </c>
      <c r="H19" t="s">
        <v>11</v>
      </c>
      <c r="I19" t="s">
        <v>15</v>
      </c>
      <c r="J19" t="s">
        <v>16</v>
      </c>
      <c r="K19" t="s">
        <v>17</v>
      </c>
    </row>
    <row r="20" spans="1:11" x14ac:dyDescent="0.25">
      <c r="A20">
        <f>AxisValue(A19,4)</f>
        <v>1.5</v>
      </c>
      <c r="B20">
        <f>AxisValue(B19,4)</f>
        <v>2.7</v>
      </c>
      <c r="C20">
        <f>AxisValue(C19,4)</f>
        <v>-7.8</v>
      </c>
      <c r="D20">
        <f ca="1">SQRT(INDIRECT("RC[-3]",0)^2 + INDIRECT("RC[-2]",0)^2 + INDIRECT("RC[-1]",0)^2)</f>
        <v>8.3892788724657379</v>
      </c>
    </row>
    <row r="21" spans="1:11" x14ac:dyDescent="0.25">
      <c r="A21">
        <f>AxisValue(A19,5)</f>
        <v>9</v>
      </c>
      <c r="B21">
        <f>AxisValue(B19,5)</f>
        <v>1</v>
      </c>
      <c r="C21">
        <f>AxisValue(C19,5)</f>
        <v>3.5</v>
      </c>
      <c r="D21">
        <f ca="1">SQRT(INDIRECT("RC[-3]",0)^2 + INDIRECT("RC[-2]",0)^2 + INDIRECT("RC[-1]",0)^2)</f>
        <v>9.7082439194737997</v>
      </c>
      <c r="E21">
        <f ca="1">SQRT((INDIRECT("R[-1]C[-4]",0) - INDIRECT("RC[-4]",0))^2 + (INDIRECT("R[-1]C[-3]",0) - INDIRECT("RC[-3]",0))^2 + (INDIRECT("R[-1]C[-2]",0) - INDIRECT("RC[-2]",0))^2)</f>
        <v>13.668577102244404</v>
      </c>
      <c r="F21">
        <f t="shared" ref="F21:H24" ca="1" si="4">SQRT((INDIRECT("R[-1]C[-5]",0) - INDIRECT("RC[-5]",0))^2)</f>
        <v>7.5</v>
      </c>
      <c r="G21">
        <f t="shared" ca="1" si="4"/>
        <v>1.7000000000000002</v>
      </c>
      <c r="H21">
        <f t="shared" ca="1" si="4"/>
        <v>11.3</v>
      </c>
      <c r="I21">
        <f ca="1">SQRT((INDIRECT("R[-1]C[-8]",0) - INDIRECT("RC[-8]",0))^2 + (INDIRECT("R[-1]C[-7]",0) - INDIRECT("RC[-7]",0))^2)</f>
        <v>7.6902535718921516</v>
      </c>
      <c r="J21">
        <f ca="1">SQRT((INDIRECT("R[-1]C[-9]",0) - INDIRECT("RC[-9]",0))^2 + (INDIRECT("R[-1]C[-7]",0) - INDIRECT("RC[-7]",0))^2)</f>
        <v>13.56244815658294</v>
      </c>
      <c r="K21">
        <f ca="1">SQRT((INDIRECT("R[-1]C[-9]",0) - INDIRECT("RC[-9]",0))^2 + (INDIRECT("R[-1]C[-8]",0) - INDIRECT("RC[-8]",0))^2)</f>
        <v>11.427160627207444</v>
      </c>
    </row>
    <row r="22" spans="1:11" x14ac:dyDescent="0.25">
      <c r="A22">
        <f>AxisValue(A19,6)</f>
        <v>6.33</v>
      </c>
      <c r="B22">
        <f>AxisValue(B19,6)</f>
        <v>3.33</v>
      </c>
      <c r="C22">
        <f>AxisValue(C19,6)</f>
        <v>-0.44</v>
      </c>
      <c r="D22">
        <f ca="1">SQRT(INDIRECT("RC[-3]",0)^2 + INDIRECT("RC[-2]",0)^2 + INDIRECT("RC[-1]",0)^2)</f>
        <v>7.1659891152582693</v>
      </c>
      <c r="E22">
        <f ca="1">SQRT((INDIRECT("R[-1]C[-4]",0) - INDIRECT("RC[-4]",0))^2 + (INDIRECT("R[-1]C[-3]",0) - INDIRECT("RC[-3]",0))^2 + (INDIRECT("R[-1]C[-2]",0) - INDIRECT("RC[-2]",0))^2)</f>
        <v>5.2991886171375331</v>
      </c>
      <c r="F22">
        <f t="shared" ca="1" si="4"/>
        <v>2.67</v>
      </c>
      <c r="G22">
        <f t="shared" ca="1" si="4"/>
        <v>2.33</v>
      </c>
      <c r="H22">
        <f t="shared" ca="1" si="4"/>
        <v>3.94</v>
      </c>
      <c r="I22">
        <f ca="1">SQRT((INDIRECT("R[-1]C[-8]",0) - INDIRECT("RC[-8]",0))^2 + (INDIRECT("R[-1]C[-7]",0) - INDIRECT("RC[-7]",0))^2)</f>
        <v>3.5436986327846784</v>
      </c>
      <c r="J22">
        <f ca="1">SQRT((INDIRECT("R[-1]C[-9]",0) - INDIRECT("RC[-9]",0))^2 + (INDIRECT("R[-1]C[-7]",0) - INDIRECT("RC[-7]",0))^2)</f>
        <v>4.7594642555649056</v>
      </c>
      <c r="K22">
        <f ca="1">SQRT((INDIRECT("R[-1]C[-9]",0) - INDIRECT("RC[-9]",0))^2 + (INDIRECT("R[-1]C[-8]",0) - INDIRECT("RC[-8]",0))^2)</f>
        <v>4.5773900860643284</v>
      </c>
    </row>
    <row r="23" spans="1:11" x14ac:dyDescent="0.25">
      <c r="A23">
        <f>AxisValue(A19,7)</f>
        <v>-1.22</v>
      </c>
      <c r="B23">
        <f>AxisValue(B19,7)</f>
        <v>-2</v>
      </c>
      <c r="C23">
        <f>AxisValue(C19,7)</f>
        <v>3.5</v>
      </c>
      <c r="D23">
        <f ca="1">SQRT(INDIRECT("RC[-3]",0)^2 + INDIRECT("RC[-2]",0)^2 + INDIRECT("RC[-1]",0)^2)</f>
        <v>4.2116979948709519</v>
      </c>
      <c r="E23">
        <f ca="1">SQRT((INDIRECT("R[-1]C[-4]",0) - INDIRECT("RC[-4]",0))^2 + (INDIRECT("R[-1]C[-3]",0) - INDIRECT("RC[-3]",0))^2 + (INDIRECT("R[-1]C[-2]",0) - INDIRECT("RC[-2]",0))^2)</f>
        <v>10.04664122978421</v>
      </c>
      <c r="F23">
        <f t="shared" ca="1" si="4"/>
        <v>7.55</v>
      </c>
      <c r="G23">
        <f t="shared" ca="1" si="4"/>
        <v>5.33</v>
      </c>
      <c r="H23">
        <f t="shared" ca="1" si="4"/>
        <v>3.94</v>
      </c>
      <c r="I23">
        <f ca="1">SQRT((INDIRECT("R[-1]C[-8]",0) - INDIRECT("RC[-8]",0))^2 + (INDIRECT("R[-1]C[-7]",0) - INDIRECT("RC[-7]",0))^2)</f>
        <v>9.2418288233444361</v>
      </c>
      <c r="J23">
        <f ca="1">SQRT((INDIRECT("R[-1]C[-9]",0) - INDIRECT("RC[-9]",0))^2 + (INDIRECT("R[-1]C[-7]",0) - INDIRECT("RC[-7]",0))^2)</f>
        <v>8.516225689822928</v>
      </c>
      <c r="K23">
        <f ca="1">SQRT((INDIRECT("R[-1]C[-9]",0) - INDIRECT("RC[-9]",0))^2 + (INDIRECT("R[-1]C[-8]",0) - INDIRECT("RC[-8]",0))^2)</f>
        <v>6.6281596239076803</v>
      </c>
    </row>
    <row r="24" spans="1:11" x14ac:dyDescent="0.25">
      <c r="A24">
        <f>AxisValue(A19,8)</f>
        <v>-4.0090000000000003</v>
      </c>
      <c r="B24">
        <f>AxisValue(B19,8)</f>
        <v>2.11</v>
      </c>
      <c r="C24">
        <f>AxisValue(C19,8)</f>
        <v>-0.77</v>
      </c>
      <c r="D24">
        <f ca="1">SQRT(INDIRECT("RC[-3]",0)^2 + INDIRECT("RC[-2]",0)^2 + INDIRECT("RC[-1]",0)^2)</f>
        <v>4.5953325233327789</v>
      </c>
      <c r="E24">
        <f ca="1">SQRT((INDIRECT("R[-1]C[-4]",0) - INDIRECT("RC[-4]",0))^2 + (INDIRECT("R[-1]C[-3]",0) - INDIRECT("RC[-3]",0))^2 + (INDIRECT("R[-1]C[-2]",0) - INDIRECT("RC[-2]",0))^2)</f>
        <v>6.5500779384676022</v>
      </c>
      <c r="F24">
        <f t="shared" ca="1" si="4"/>
        <v>2.7890000000000006</v>
      </c>
      <c r="G24">
        <f t="shared" ca="1" si="4"/>
        <v>4.1099999999999994</v>
      </c>
      <c r="H24">
        <f t="shared" ca="1" si="4"/>
        <v>4.2699999999999996</v>
      </c>
      <c r="I24">
        <f ca="1">SQRT((INDIRECT("R[-1]C[-8]",0) - INDIRECT("RC[-8]",0))^2 + (INDIRECT("R[-1]C[-7]",0) - INDIRECT("RC[-7]",0))^2)</f>
        <v>4.9669528888444265</v>
      </c>
      <c r="J24">
        <f ca="1">SQRT((INDIRECT("R[-1]C[-9]",0) - INDIRECT("RC[-9]",0))^2 + (INDIRECT("R[-1]C[-7]",0) - INDIRECT("RC[-7]",0))^2)</f>
        <v>5.1001393118227663</v>
      </c>
      <c r="K24">
        <f ca="1">SQRT((INDIRECT("R[-1]C[-9]",0) - INDIRECT("RC[-9]",0))^2 + (INDIRECT("R[-1]C[-8]",0) - INDIRECT("RC[-8]",0))^2)</f>
        <v>5.9266347955648486</v>
      </c>
    </row>
    <row r="25" spans="1:11" x14ac:dyDescent="0.25">
      <c r="D25" t="s">
        <v>4</v>
      </c>
      <c r="E25">
        <f t="shared" ref="E25:K25" ca="1" si="5">(INDIRECT("R[-1]C",0) + INDIRECT("R[-2]C",0) + INDIRECT("R[-3]C",0) + INDIRECT("R[-4]C",0))</f>
        <v>35.564484887633753</v>
      </c>
      <c r="F25">
        <f t="shared" ca="1" si="5"/>
        <v>20.509</v>
      </c>
      <c r="G25">
        <f t="shared" ca="1" si="5"/>
        <v>13.469999999999999</v>
      </c>
      <c r="H25">
        <f t="shared" ca="1" si="5"/>
        <v>23.45</v>
      </c>
      <c r="I25">
        <f t="shared" ca="1" si="5"/>
        <v>25.442733916865691</v>
      </c>
      <c r="J25">
        <f t="shared" ca="1" si="5"/>
        <v>31.938277413793536</v>
      </c>
      <c r="K25">
        <f t="shared" ca="1" si="5"/>
        <v>28.559345132744298</v>
      </c>
    </row>
    <row r="26" spans="1:11" x14ac:dyDescent="0.25">
      <c r="A26" t="s">
        <v>18</v>
      </c>
    </row>
    <row r="27" spans="1:11" x14ac:dyDescent="0.25">
      <c r="A27" s="1" t="s">
        <v>21</v>
      </c>
      <c r="B27" s="1" t="s">
        <v>25</v>
      </c>
      <c r="C27" s="1" t="s">
        <v>23</v>
      </c>
      <c r="D27" t="s">
        <v>10</v>
      </c>
      <c r="E27" t="s">
        <v>14</v>
      </c>
      <c r="F27" t="s">
        <v>13</v>
      </c>
      <c r="G27" t="s">
        <v>12</v>
      </c>
      <c r="H27" t="s">
        <v>11</v>
      </c>
      <c r="I27" t="s">
        <v>15</v>
      </c>
      <c r="J27" t="s">
        <v>16</v>
      </c>
      <c r="K27" t="s">
        <v>17</v>
      </c>
    </row>
    <row r="28" spans="1:11" x14ac:dyDescent="0.25">
      <c r="A28">
        <f>AxisValue(A27,4)</f>
        <v>1.5</v>
      </c>
      <c r="B28">
        <f>AxisValue(B27,4)</f>
        <v>-2.7</v>
      </c>
      <c r="C28">
        <f>AxisValue(C27,4)</f>
        <v>7.8</v>
      </c>
      <c r="D28">
        <f ca="1">SQRT(INDIRECT("RC[-3]",0)^2 + INDIRECT("RC[-2]",0)^2 + INDIRECT("RC[-1]",0)^2)</f>
        <v>8.3892788724657379</v>
      </c>
    </row>
    <row r="29" spans="1:11" x14ac:dyDescent="0.25">
      <c r="A29">
        <f>AxisValue(A27,5)</f>
        <v>9</v>
      </c>
      <c r="B29">
        <f>AxisValue(B27,5)</f>
        <v>-1</v>
      </c>
      <c r="C29">
        <f>AxisValue(C27,5)</f>
        <v>-3.5</v>
      </c>
      <c r="D29">
        <f ca="1">SQRT(INDIRECT("RC[-3]",0)^2 + INDIRECT("RC[-2]",0)^2 + INDIRECT("RC[-1]",0)^2)</f>
        <v>9.7082439194737997</v>
      </c>
      <c r="E29">
        <f ca="1">SQRT((INDIRECT("R[-1]C[-4]",0) - INDIRECT("RC[-4]",0))^2 + (INDIRECT("R[-1]C[-3]",0) - INDIRECT("RC[-3]",0))^2 + (INDIRECT("R[-1]C[-2]",0) - INDIRECT("RC[-2]",0))^2)</f>
        <v>13.668577102244404</v>
      </c>
      <c r="F29">
        <f t="shared" ref="F29:H32" ca="1" si="6">SQRT((INDIRECT("R[-1]C[-5]",0) - INDIRECT("RC[-5]",0))^2)</f>
        <v>7.5</v>
      </c>
      <c r="G29">
        <f t="shared" ca="1" si="6"/>
        <v>1.7000000000000002</v>
      </c>
      <c r="H29">
        <f t="shared" ca="1" si="6"/>
        <v>11.3</v>
      </c>
      <c r="I29">
        <f ca="1">SQRT((INDIRECT("R[-1]C[-8]",0) - INDIRECT("RC[-8]",0))^2 + (INDIRECT("R[-1]C[-7]",0) - INDIRECT("RC[-7]",0))^2)</f>
        <v>7.6902535718921516</v>
      </c>
      <c r="J29">
        <f ca="1">SQRT((INDIRECT("R[-1]C[-9]",0) - INDIRECT("RC[-9]",0))^2 + (INDIRECT("R[-1]C[-7]",0) - INDIRECT("RC[-7]",0))^2)</f>
        <v>13.56244815658294</v>
      </c>
      <c r="K29">
        <f ca="1">SQRT((INDIRECT("R[-1]C[-9]",0) - INDIRECT("RC[-9]",0))^2 + (INDIRECT("R[-1]C[-8]",0) - INDIRECT("RC[-8]",0))^2)</f>
        <v>11.427160627207444</v>
      </c>
    </row>
    <row r="30" spans="1:11" x14ac:dyDescent="0.25">
      <c r="A30">
        <f>AxisValue(A27,6)</f>
        <v>6.33</v>
      </c>
      <c r="B30">
        <f>AxisValue(B27,6)</f>
        <v>-3.33</v>
      </c>
      <c r="C30">
        <f>AxisValue(C27,6)</f>
        <v>0.44</v>
      </c>
      <c r="D30">
        <f ca="1">SQRT(INDIRECT("RC[-3]",0)^2 + INDIRECT("RC[-2]",0)^2 + INDIRECT("RC[-1]",0)^2)</f>
        <v>7.1659891152582693</v>
      </c>
      <c r="E30">
        <f ca="1">SQRT((INDIRECT("R[-1]C[-4]",0) - INDIRECT("RC[-4]",0))^2 + (INDIRECT("R[-1]C[-3]",0) - INDIRECT("RC[-3]",0))^2 + (INDIRECT("R[-1]C[-2]",0) - INDIRECT("RC[-2]",0))^2)</f>
        <v>5.2991886171375331</v>
      </c>
      <c r="F30">
        <f t="shared" ca="1" si="6"/>
        <v>2.67</v>
      </c>
      <c r="G30">
        <f t="shared" ca="1" si="6"/>
        <v>2.33</v>
      </c>
      <c r="H30">
        <f t="shared" ca="1" si="6"/>
        <v>3.94</v>
      </c>
      <c r="I30">
        <f ca="1">SQRT((INDIRECT("R[-1]C[-8]",0) - INDIRECT("RC[-8]",0))^2 + (INDIRECT("R[-1]C[-7]",0) - INDIRECT("RC[-7]",0))^2)</f>
        <v>3.5436986327846784</v>
      </c>
      <c r="J30">
        <f ca="1">SQRT((INDIRECT("R[-1]C[-9]",0) - INDIRECT("RC[-9]",0))^2 + (INDIRECT("R[-1]C[-7]",0) - INDIRECT("RC[-7]",0))^2)</f>
        <v>4.7594642555649056</v>
      </c>
      <c r="K30">
        <f ca="1">SQRT((INDIRECT("R[-1]C[-9]",0) - INDIRECT("RC[-9]",0))^2 + (INDIRECT("R[-1]C[-8]",0) - INDIRECT("RC[-8]",0))^2)</f>
        <v>4.5773900860643284</v>
      </c>
    </row>
    <row r="31" spans="1:11" x14ac:dyDescent="0.25">
      <c r="A31">
        <f>AxisValue(A27,7)</f>
        <v>-1.22</v>
      </c>
      <c r="B31">
        <f>AxisValue(B27,7)</f>
        <v>2</v>
      </c>
      <c r="C31">
        <f>AxisValue(C27,7)</f>
        <v>-3.5</v>
      </c>
      <c r="D31">
        <f ca="1">SQRT(INDIRECT("RC[-3]",0)^2 + INDIRECT("RC[-2]",0)^2 + INDIRECT("RC[-1]",0)^2)</f>
        <v>4.2116979948709519</v>
      </c>
      <c r="E31">
        <f ca="1">SQRT((INDIRECT("R[-1]C[-4]",0) - INDIRECT("RC[-4]",0))^2 + (INDIRECT("R[-1]C[-3]",0) - INDIRECT("RC[-3]",0))^2 + (INDIRECT("R[-1]C[-2]",0) - INDIRECT("RC[-2]",0))^2)</f>
        <v>10.04664122978421</v>
      </c>
      <c r="F31">
        <f t="shared" ca="1" si="6"/>
        <v>7.55</v>
      </c>
      <c r="G31">
        <f t="shared" ca="1" si="6"/>
        <v>5.33</v>
      </c>
      <c r="H31">
        <f t="shared" ca="1" si="6"/>
        <v>3.94</v>
      </c>
      <c r="I31">
        <f ca="1">SQRT((INDIRECT("R[-1]C[-8]",0) - INDIRECT("RC[-8]",0))^2 + (INDIRECT("R[-1]C[-7]",0) - INDIRECT("RC[-7]",0))^2)</f>
        <v>9.2418288233444361</v>
      </c>
      <c r="J31">
        <f ca="1">SQRT((INDIRECT("R[-1]C[-9]",0) - INDIRECT("RC[-9]",0))^2 + (INDIRECT("R[-1]C[-7]",0) - INDIRECT("RC[-7]",0))^2)</f>
        <v>8.516225689822928</v>
      </c>
      <c r="K31">
        <f ca="1">SQRT((INDIRECT("R[-1]C[-9]",0) - INDIRECT("RC[-9]",0))^2 + (INDIRECT("R[-1]C[-8]",0) - INDIRECT("RC[-8]",0))^2)</f>
        <v>6.6281596239076803</v>
      </c>
    </row>
    <row r="32" spans="1:11" x14ac:dyDescent="0.25">
      <c r="A32">
        <f>AxisValue(A27,8)</f>
        <v>-4.0090000000000003</v>
      </c>
      <c r="B32">
        <f>AxisValue(B27,8)</f>
        <v>-2.11</v>
      </c>
      <c r="C32">
        <f>AxisValue(C27,8)</f>
        <v>0.77</v>
      </c>
      <c r="D32">
        <f ca="1">SQRT(INDIRECT("RC[-3]",0)^2 + INDIRECT("RC[-2]",0)^2 + INDIRECT("RC[-1]",0)^2)</f>
        <v>4.5953325233327789</v>
      </c>
      <c r="E32">
        <f ca="1">SQRT((INDIRECT("R[-1]C[-4]",0) - INDIRECT("RC[-4]",0))^2 + (INDIRECT("R[-1]C[-3]",0) - INDIRECT("RC[-3]",0))^2 + (INDIRECT("R[-1]C[-2]",0) - INDIRECT("RC[-2]",0))^2)</f>
        <v>6.5500779384676022</v>
      </c>
      <c r="F32">
        <f t="shared" ca="1" si="6"/>
        <v>2.7890000000000006</v>
      </c>
      <c r="G32">
        <f t="shared" ca="1" si="6"/>
        <v>4.1099999999999994</v>
      </c>
      <c r="H32">
        <f t="shared" ca="1" si="6"/>
        <v>4.2699999999999996</v>
      </c>
      <c r="I32">
        <f ca="1">SQRT((INDIRECT("R[-1]C[-8]",0) - INDIRECT("RC[-8]",0))^2 + (INDIRECT("R[-1]C[-7]",0) - INDIRECT("RC[-7]",0))^2)</f>
        <v>4.9669528888444265</v>
      </c>
      <c r="J32">
        <f ca="1">SQRT((INDIRECT("R[-1]C[-9]",0) - INDIRECT("RC[-9]",0))^2 + (INDIRECT("R[-1]C[-7]",0) - INDIRECT("RC[-7]",0))^2)</f>
        <v>5.1001393118227663</v>
      </c>
      <c r="K32">
        <f ca="1">SQRT((INDIRECT("R[-1]C[-9]",0) - INDIRECT("RC[-9]",0))^2 + (INDIRECT("R[-1]C[-8]",0) - INDIRECT("RC[-8]",0))^2)</f>
        <v>5.9266347955648486</v>
      </c>
    </row>
    <row r="33" spans="1:11" x14ac:dyDescent="0.25">
      <c r="D33" t="s">
        <v>4</v>
      </c>
      <c r="E33">
        <f t="shared" ref="E33:K33" ca="1" si="7">(INDIRECT("R[-1]C",0) + INDIRECT("R[-2]C",0) + INDIRECT("R[-3]C",0) + INDIRECT("R[-4]C",0))</f>
        <v>35.564484887633753</v>
      </c>
      <c r="F33">
        <f t="shared" ca="1" si="7"/>
        <v>20.509</v>
      </c>
      <c r="G33">
        <f t="shared" ca="1" si="7"/>
        <v>13.469999999999999</v>
      </c>
      <c r="H33">
        <f t="shared" ca="1" si="7"/>
        <v>23.45</v>
      </c>
      <c r="I33">
        <f t="shared" ca="1" si="7"/>
        <v>25.442733916865691</v>
      </c>
      <c r="J33">
        <f t="shared" ca="1" si="7"/>
        <v>31.938277413793536</v>
      </c>
      <c r="K33">
        <f t="shared" ca="1" si="7"/>
        <v>28.559345132744298</v>
      </c>
    </row>
    <row r="34" spans="1:11" x14ac:dyDescent="0.25">
      <c r="A34" t="s">
        <v>18</v>
      </c>
    </row>
    <row r="35" spans="1:11" x14ac:dyDescent="0.25">
      <c r="A35" s="1" t="s">
        <v>21</v>
      </c>
      <c r="B35" s="1" t="s">
        <v>25</v>
      </c>
      <c r="C35" s="1" t="s">
        <v>24</v>
      </c>
      <c r="D35" t="s">
        <v>10</v>
      </c>
      <c r="E35" t="s">
        <v>14</v>
      </c>
      <c r="F35" t="s">
        <v>13</v>
      </c>
      <c r="G35" t="s">
        <v>12</v>
      </c>
      <c r="H35" t="s">
        <v>11</v>
      </c>
      <c r="I35" t="s">
        <v>15</v>
      </c>
      <c r="J35" t="s">
        <v>16</v>
      </c>
      <c r="K35" t="s">
        <v>17</v>
      </c>
    </row>
    <row r="36" spans="1:11" x14ac:dyDescent="0.25">
      <c r="A36">
        <f>AxisValue(A35,4)</f>
        <v>1.5</v>
      </c>
      <c r="B36">
        <f>AxisValue(B35,4)</f>
        <v>-2.7</v>
      </c>
      <c r="C36">
        <f>AxisValue(C35,4)</f>
        <v>-7.8</v>
      </c>
      <c r="D36">
        <f ca="1">SQRT(INDIRECT("RC[-3]",0)^2 + INDIRECT("RC[-2]",0)^2 + INDIRECT("RC[-1]",0)^2)</f>
        <v>8.3892788724657379</v>
      </c>
    </row>
    <row r="37" spans="1:11" x14ac:dyDescent="0.25">
      <c r="A37">
        <f>AxisValue(A35,5)</f>
        <v>9</v>
      </c>
      <c r="B37">
        <f>AxisValue(B35,5)</f>
        <v>-1</v>
      </c>
      <c r="C37">
        <f>AxisValue(C35,5)</f>
        <v>3.5</v>
      </c>
      <c r="D37">
        <f ca="1">SQRT(INDIRECT("RC[-3]",0)^2 + INDIRECT("RC[-2]",0)^2 + INDIRECT("RC[-1]",0)^2)</f>
        <v>9.7082439194737997</v>
      </c>
      <c r="E37">
        <f ca="1">SQRT((INDIRECT("R[-1]C[-4]",0) - INDIRECT("RC[-4]",0))^2 + (INDIRECT("R[-1]C[-3]",0) - INDIRECT("RC[-3]",0))^2 + (INDIRECT("R[-1]C[-2]",0) - INDIRECT("RC[-2]",0))^2)</f>
        <v>13.668577102244404</v>
      </c>
      <c r="F37">
        <f t="shared" ref="F37:H40" ca="1" si="8">SQRT((INDIRECT("R[-1]C[-5]",0) - INDIRECT("RC[-5]",0))^2)</f>
        <v>7.5</v>
      </c>
      <c r="G37">
        <f t="shared" ca="1" si="8"/>
        <v>1.7000000000000002</v>
      </c>
      <c r="H37">
        <f t="shared" ca="1" si="8"/>
        <v>11.3</v>
      </c>
      <c r="I37">
        <f ca="1">SQRT((INDIRECT("R[-1]C[-8]",0) - INDIRECT("RC[-8]",0))^2 + (INDIRECT("R[-1]C[-7]",0) - INDIRECT("RC[-7]",0))^2)</f>
        <v>7.6902535718921516</v>
      </c>
      <c r="J37">
        <f ca="1">SQRT((INDIRECT("R[-1]C[-9]",0) - INDIRECT("RC[-9]",0))^2 + (INDIRECT("R[-1]C[-7]",0) - INDIRECT("RC[-7]",0))^2)</f>
        <v>13.56244815658294</v>
      </c>
      <c r="K37">
        <f ca="1">SQRT((INDIRECT("R[-1]C[-9]",0) - INDIRECT("RC[-9]",0))^2 + (INDIRECT("R[-1]C[-8]",0) - INDIRECT("RC[-8]",0))^2)</f>
        <v>11.427160627207444</v>
      </c>
    </row>
    <row r="38" spans="1:11" x14ac:dyDescent="0.25">
      <c r="A38">
        <f>AxisValue(A35,6)</f>
        <v>6.33</v>
      </c>
      <c r="B38">
        <f>AxisValue(B35,6)</f>
        <v>-3.33</v>
      </c>
      <c r="C38">
        <f>AxisValue(C35,6)</f>
        <v>-0.44</v>
      </c>
      <c r="D38">
        <f ca="1">SQRT(INDIRECT("RC[-3]",0)^2 + INDIRECT("RC[-2]",0)^2 + INDIRECT("RC[-1]",0)^2)</f>
        <v>7.1659891152582693</v>
      </c>
      <c r="E38">
        <f ca="1">SQRT((INDIRECT("R[-1]C[-4]",0) - INDIRECT("RC[-4]",0))^2 + (INDIRECT("R[-1]C[-3]",0) - INDIRECT("RC[-3]",0))^2 + (INDIRECT("R[-1]C[-2]",0) - INDIRECT("RC[-2]",0))^2)</f>
        <v>5.2991886171375331</v>
      </c>
      <c r="F38">
        <f t="shared" ca="1" si="8"/>
        <v>2.67</v>
      </c>
      <c r="G38">
        <f t="shared" ca="1" si="8"/>
        <v>2.33</v>
      </c>
      <c r="H38">
        <f t="shared" ca="1" si="8"/>
        <v>3.94</v>
      </c>
      <c r="I38">
        <f ca="1">SQRT((INDIRECT("R[-1]C[-8]",0) - INDIRECT("RC[-8]",0))^2 + (INDIRECT("R[-1]C[-7]",0) - INDIRECT("RC[-7]",0))^2)</f>
        <v>3.5436986327846784</v>
      </c>
      <c r="J38">
        <f ca="1">SQRT((INDIRECT("R[-1]C[-9]",0) - INDIRECT("RC[-9]",0))^2 + (INDIRECT("R[-1]C[-7]",0) - INDIRECT("RC[-7]",0))^2)</f>
        <v>4.7594642555649056</v>
      </c>
      <c r="K38">
        <f ca="1">SQRT((INDIRECT("R[-1]C[-9]",0) - INDIRECT("RC[-9]",0))^2 + (INDIRECT("R[-1]C[-8]",0) - INDIRECT("RC[-8]",0))^2)</f>
        <v>4.5773900860643284</v>
      </c>
    </row>
    <row r="39" spans="1:11" x14ac:dyDescent="0.25">
      <c r="A39">
        <f>AxisValue(A35,7)</f>
        <v>-1.22</v>
      </c>
      <c r="B39">
        <f>AxisValue(B35,7)</f>
        <v>2</v>
      </c>
      <c r="C39">
        <f>AxisValue(C35,7)</f>
        <v>3.5</v>
      </c>
      <c r="D39">
        <f ca="1">SQRT(INDIRECT("RC[-3]",0)^2 + INDIRECT("RC[-2]",0)^2 + INDIRECT("RC[-1]",0)^2)</f>
        <v>4.2116979948709519</v>
      </c>
      <c r="E39">
        <f ca="1">SQRT((INDIRECT("R[-1]C[-4]",0) - INDIRECT("RC[-4]",0))^2 + (INDIRECT("R[-1]C[-3]",0) - INDIRECT("RC[-3]",0))^2 + (INDIRECT("R[-1]C[-2]",0) - INDIRECT("RC[-2]",0))^2)</f>
        <v>10.04664122978421</v>
      </c>
      <c r="F39">
        <f t="shared" ca="1" si="8"/>
        <v>7.55</v>
      </c>
      <c r="G39">
        <f t="shared" ca="1" si="8"/>
        <v>5.33</v>
      </c>
      <c r="H39">
        <f t="shared" ca="1" si="8"/>
        <v>3.94</v>
      </c>
      <c r="I39">
        <f ca="1">SQRT((INDIRECT("R[-1]C[-8]",0) - INDIRECT("RC[-8]",0))^2 + (INDIRECT("R[-1]C[-7]",0) - INDIRECT("RC[-7]",0))^2)</f>
        <v>9.2418288233444361</v>
      </c>
      <c r="J39">
        <f ca="1">SQRT((INDIRECT("R[-1]C[-9]",0) - INDIRECT("RC[-9]",0))^2 + (INDIRECT("R[-1]C[-7]",0) - INDIRECT("RC[-7]",0))^2)</f>
        <v>8.516225689822928</v>
      </c>
      <c r="K39">
        <f ca="1">SQRT((INDIRECT("R[-1]C[-9]",0) - INDIRECT("RC[-9]",0))^2 + (INDIRECT("R[-1]C[-8]",0) - INDIRECT("RC[-8]",0))^2)</f>
        <v>6.6281596239076803</v>
      </c>
    </row>
    <row r="40" spans="1:11" x14ac:dyDescent="0.25">
      <c r="A40">
        <f>AxisValue(A35,8)</f>
        <v>-4.0090000000000003</v>
      </c>
      <c r="B40">
        <f>AxisValue(B35,8)</f>
        <v>-2.11</v>
      </c>
      <c r="C40">
        <f>AxisValue(C35,8)</f>
        <v>-0.77</v>
      </c>
      <c r="D40">
        <f ca="1">SQRT(INDIRECT("RC[-3]",0)^2 + INDIRECT("RC[-2]",0)^2 + INDIRECT("RC[-1]",0)^2)</f>
        <v>4.5953325233327789</v>
      </c>
      <c r="E40">
        <f ca="1">SQRT((INDIRECT("R[-1]C[-4]",0) - INDIRECT("RC[-4]",0))^2 + (INDIRECT("R[-1]C[-3]",0) - INDIRECT("RC[-3]",0))^2 + (INDIRECT("R[-1]C[-2]",0) - INDIRECT("RC[-2]",0))^2)</f>
        <v>6.5500779384676022</v>
      </c>
      <c r="F40">
        <f t="shared" ca="1" si="8"/>
        <v>2.7890000000000006</v>
      </c>
      <c r="G40">
        <f t="shared" ca="1" si="8"/>
        <v>4.1099999999999994</v>
      </c>
      <c r="H40">
        <f t="shared" ca="1" si="8"/>
        <v>4.2699999999999996</v>
      </c>
      <c r="I40">
        <f ca="1">SQRT((INDIRECT("R[-1]C[-8]",0) - INDIRECT("RC[-8]",0))^2 + (INDIRECT("R[-1]C[-7]",0) - INDIRECT("RC[-7]",0))^2)</f>
        <v>4.9669528888444265</v>
      </c>
      <c r="J40">
        <f ca="1">SQRT((INDIRECT("R[-1]C[-9]",0) - INDIRECT("RC[-9]",0))^2 + (INDIRECT("R[-1]C[-7]",0) - INDIRECT("RC[-7]",0))^2)</f>
        <v>5.1001393118227663</v>
      </c>
      <c r="K40">
        <f ca="1">SQRT((INDIRECT("R[-1]C[-9]",0) - INDIRECT("RC[-9]",0))^2 + (INDIRECT("R[-1]C[-8]",0) - INDIRECT("RC[-8]",0))^2)</f>
        <v>5.9266347955648486</v>
      </c>
    </row>
    <row r="41" spans="1:11" x14ac:dyDescent="0.25">
      <c r="D41" t="s">
        <v>4</v>
      </c>
      <c r="E41">
        <f t="shared" ref="E41:K41" ca="1" si="9">(INDIRECT("R[-1]C",0) + INDIRECT("R[-2]C",0) + INDIRECT("R[-3]C",0) + INDIRECT("R[-4]C",0))</f>
        <v>35.564484887633753</v>
      </c>
      <c r="F41">
        <f t="shared" ca="1" si="9"/>
        <v>20.509</v>
      </c>
      <c r="G41">
        <f t="shared" ca="1" si="9"/>
        <v>13.469999999999999</v>
      </c>
      <c r="H41">
        <f t="shared" ca="1" si="9"/>
        <v>23.45</v>
      </c>
      <c r="I41">
        <f t="shared" ca="1" si="9"/>
        <v>25.442733916865691</v>
      </c>
      <c r="J41">
        <f t="shared" ca="1" si="9"/>
        <v>31.938277413793536</v>
      </c>
      <c r="K41">
        <f t="shared" ca="1" si="9"/>
        <v>28.559345132744298</v>
      </c>
    </row>
    <row r="42" spans="1:11" x14ac:dyDescent="0.25">
      <c r="A42" t="s">
        <v>18</v>
      </c>
    </row>
    <row r="43" spans="1:11" x14ac:dyDescent="0.25">
      <c r="A43" s="1" t="s">
        <v>26</v>
      </c>
      <c r="B43" s="1" t="s">
        <v>22</v>
      </c>
      <c r="C43" s="1" t="s">
        <v>23</v>
      </c>
      <c r="D43" t="s">
        <v>10</v>
      </c>
      <c r="E43" t="s">
        <v>14</v>
      </c>
      <c r="F43" t="s">
        <v>13</v>
      </c>
      <c r="G43" t="s">
        <v>12</v>
      </c>
      <c r="H43" t="s">
        <v>11</v>
      </c>
      <c r="I43" t="s">
        <v>15</v>
      </c>
      <c r="J43" t="s">
        <v>16</v>
      </c>
      <c r="K43" t="s">
        <v>17</v>
      </c>
    </row>
    <row r="44" spans="1:11" x14ac:dyDescent="0.25">
      <c r="A44">
        <f>AxisValue(A43,4)</f>
        <v>-1.5</v>
      </c>
      <c r="B44">
        <f>AxisValue(B43,4)</f>
        <v>2.7</v>
      </c>
      <c r="C44">
        <f>AxisValue(C43,4)</f>
        <v>7.8</v>
      </c>
      <c r="D44">
        <f ca="1">SQRT(INDIRECT("RC[-3]",0)^2 + INDIRECT("RC[-2]",0)^2 + INDIRECT("RC[-1]",0)^2)</f>
        <v>8.3892788724657379</v>
      </c>
    </row>
    <row r="45" spans="1:11" x14ac:dyDescent="0.25">
      <c r="A45">
        <f>AxisValue(A43,5)</f>
        <v>-9</v>
      </c>
      <c r="B45">
        <f>AxisValue(B43,5)</f>
        <v>1</v>
      </c>
      <c r="C45">
        <f>AxisValue(C43,5)</f>
        <v>-3.5</v>
      </c>
      <c r="D45">
        <f ca="1">SQRT(INDIRECT("RC[-3]",0)^2 + INDIRECT("RC[-2]",0)^2 + INDIRECT("RC[-1]",0)^2)</f>
        <v>9.7082439194737997</v>
      </c>
      <c r="E45">
        <f ca="1">SQRT((INDIRECT("R[-1]C[-4]",0) - INDIRECT("RC[-4]",0))^2 + (INDIRECT("R[-1]C[-3]",0) - INDIRECT("RC[-3]",0))^2 + (INDIRECT("R[-1]C[-2]",0) - INDIRECT("RC[-2]",0))^2)</f>
        <v>13.668577102244404</v>
      </c>
      <c r="F45">
        <f t="shared" ref="F45:H48" ca="1" si="10">SQRT((INDIRECT("R[-1]C[-5]",0) - INDIRECT("RC[-5]",0))^2)</f>
        <v>7.5</v>
      </c>
      <c r="G45">
        <f t="shared" ca="1" si="10"/>
        <v>1.7000000000000002</v>
      </c>
      <c r="H45">
        <f t="shared" ca="1" si="10"/>
        <v>11.3</v>
      </c>
      <c r="I45">
        <f ca="1">SQRT((INDIRECT("R[-1]C[-8]",0) - INDIRECT("RC[-8]",0))^2 + (INDIRECT("R[-1]C[-7]",0) - INDIRECT("RC[-7]",0))^2)</f>
        <v>7.6902535718921516</v>
      </c>
      <c r="J45">
        <f ca="1">SQRT((INDIRECT("R[-1]C[-9]",0) - INDIRECT("RC[-9]",0))^2 + (INDIRECT("R[-1]C[-7]",0) - INDIRECT("RC[-7]",0))^2)</f>
        <v>13.56244815658294</v>
      </c>
      <c r="K45">
        <f ca="1">SQRT((INDIRECT("R[-1]C[-9]",0) - INDIRECT("RC[-9]",0))^2 + (INDIRECT("R[-1]C[-8]",0) - INDIRECT("RC[-8]",0))^2)</f>
        <v>11.427160627207444</v>
      </c>
    </row>
    <row r="46" spans="1:11" x14ac:dyDescent="0.25">
      <c r="A46">
        <f>AxisValue(A43,6)</f>
        <v>-6.33</v>
      </c>
      <c r="B46">
        <f>AxisValue(B43,6)</f>
        <v>3.33</v>
      </c>
      <c r="C46">
        <f>AxisValue(C43,6)</f>
        <v>0.44</v>
      </c>
      <c r="D46">
        <f ca="1">SQRT(INDIRECT("RC[-3]",0)^2 + INDIRECT("RC[-2]",0)^2 + INDIRECT("RC[-1]",0)^2)</f>
        <v>7.1659891152582693</v>
      </c>
      <c r="E46">
        <f ca="1">SQRT((INDIRECT("R[-1]C[-4]",0) - INDIRECT("RC[-4]",0))^2 + (INDIRECT("R[-1]C[-3]",0) - INDIRECT("RC[-3]",0))^2 + (INDIRECT("R[-1]C[-2]",0) - INDIRECT("RC[-2]",0))^2)</f>
        <v>5.2991886171375331</v>
      </c>
      <c r="F46">
        <f t="shared" ca="1" si="10"/>
        <v>2.67</v>
      </c>
      <c r="G46">
        <f t="shared" ca="1" si="10"/>
        <v>2.33</v>
      </c>
      <c r="H46">
        <f t="shared" ca="1" si="10"/>
        <v>3.94</v>
      </c>
      <c r="I46">
        <f ca="1">SQRT((INDIRECT("R[-1]C[-8]",0) - INDIRECT("RC[-8]",0))^2 + (INDIRECT("R[-1]C[-7]",0) - INDIRECT("RC[-7]",0))^2)</f>
        <v>3.5436986327846784</v>
      </c>
      <c r="J46">
        <f ca="1">SQRT((INDIRECT("R[-1]C[-9]",0) - INDIRECT("RC[-9]",0))^2 + (INDIRECT("R[-1]C[-7]",0) - INDIRECT("RC[-7]",0))^2)</f>
        <v>4.7594642555649056</v>
      </c>
      <c r="K46">
        <f ca="1">SQRT((INDIRECT("R[-1]C[-9]",0) - INDIRECT("RC[-9]",0))^2 + (INDIRECT("R[-1]C[-8]",0) - INDIRECT("RC[-8]",0))^2)</f>
        <v>4.5773900860643284</v>
      </c>
    </row>
    <row r="47" spans="1:11" x14ac:dyDescent="0.25">
      <c r="A47">
        <f>AxisValue(A43,7)</f>
        <v>1.22</v>
      </c>
      <c r="B47">
        <f>AxisValue(B43,7)</f>
        <v>-2</v>
      </c>
      <c r="C47">
        <f>AxisValue(C43,7)</f>
        <v>-3.5</v>
      </c>
      <c r="D47">
        <f ca="1">SQRT(INDIRECT("RC[-3]",0)^2 + INDIRECT("RC[-2]",0)^2 + INDIRECT("RC[-1]",0)^2)</f>
        <v>4.2116979948709519</v>
      </c>
      <c r="E47">
        <f ca="1">SQRT((INDIRECT("R[-1]C[-4]",0) - INDIRECT("RC[-4]",0))^2 + (INDIRECT("R[-1]C[-3]",0) - INDIRECT("RC[-3]",0))^2 + (INDIRECT("R[-1]C[-2]",0) - INDIRECT("RC[-2]",0))^2)</f>
        <v>10.04664122978421</v>
      </c>
      <c r="F47">
        <f t="shared" ca="1" si="10"/>
        <v>7.55</v>
      </c>
      <c r="G47">
        <f t="shared" ca="1" si="10"/>
        <v>5.33</v>
      </c>
      <c r="H47">
        <f t="shared" ca="1" si="10"/>
        <v>3.94</v>
      </c>
      <c r="I47">
        <f ca="1">SQRT((INDIRECT("R[-1]C[-8]",0) - INDIRECT("RC[-8]",0))^2 + (INDIRECT("R[-1]C[-7]",0) - INDIRECT("RC[-7]",0))^2)</f>
        <v>9.2418288233444361</v>
      </c>
      <c r="J47">
        <f ca="1">SQRT((INDIRECT("R[-1]C[-9]",0) - INDIRECT("RC[-9]",0))^2 + (INDIRECT("R[-1]C[-7]",0) - INDIRECT("RC[-7]",0))^2)</f>
        <v>8.516225689822928</v>
      </c>
      <c r="K47">
        <f ca="1">SQRT((INDIRECT("R[-1]C[-9]",0) - INDIRECT("RC[-9]",0))^2 + (INDIRECT("R[-1]C[-8]",0) - INDIRECT("RC[-8]",0))^2)</f>
        <v>6.6281596239076803</v>
      </c>
    </row>
    <row r="48" spans="1:11" x14ac:dyDescent="0.25">
      <c r="A48">
        <f>AxisValue(A43,8)</f>
        <v>4.0090000000000003</v>
      </c>
      <c r="B48">
        <f>AxisValue(B43,8)</f>
        <v>2.11</v>
      </c>
      <c r="C48">
        <f>AxisValue(C43,8)</f>
        <v>0.77</v>
      </c>
      <c r="D48">
        <f ca="1">SQRT(INDIRECT("RC[-3]",0)^2 + INDIRECT("RC[-2]",0)^2 + INDIRECT("RC[-1]",0)^2)</f>
        <v>4.5953325233327789</v>
      </c>
      <c r="E48">
        <f ca="1">SQRT((INDIRECT("R[-1]C[-4]",0) - INDIRECT("RC[-4]",0))^2 + (INDIRECT("R[-1]C[-3]",0) - INDIRECT("RC[-3]",0))^2 + (INDIRECT("R[-1]C[-2]",0) - INDIRECT("RC[-2]",0))^2)</f>
        <v>6.5500779384676022</v>
      </c>
      <c r="F48">
        <f t="shared" ca="1" si="10"/>
        <v>2.7890000000000006</v>
      </c>
      <c r="G48">
        <f t="shared" ca="1" si="10"/>
        <v>4.1099999999999994</v>
      </c>
      <c r="H48">
        <f t="shared" ca="1" si="10"/>
        <v>4.2699999999999996</v>
      </c>
      <c r="I48">
        <f ca="1">SQRT((INDIRECT("R[-1]C[-8]",0) - INDIRECT("RC[-8]",0))^2 + (INDIRECT("R[-1]C[-7]",0) - INDIRECT("RC[-7]",0))^2)</f>
        <v>4.9669528888444265</v>
      </c>
      <c r="J48">
        <f ca="1">SQRT((INDIRECT("R[-1]C[-9]",0) - INDIRECT("RC[-9]",0))^2 + (INDIRECT("R[-1]C[-7]",0) - INDIRECT("RC[-7]",0))^2)</f>
        <v>5.1001393118227663</v>
      </c>
      <c r="K48">
        <f ca="1">SQRT((INDIRECT("R[-1]C[-9]",0) - INDIRECT("RC[-9]",0))^2 + (INDIRECT("R[-1]C[-8]",0) - INDIRECT("RC[-8]",0))^2)</f>
        <v>5.9266347955648486</v>
      </c>
    </row>
    <row r="49" spans="1:11" x14ac:dyDescent="0.25">
      <c r="D49" t="s">
        <v>4</v>
      </c>
      <c r="E49">
        <f t="shared" ref="E49:K49" ca="1" si="11">(INDIRECT("R[-1]C",0) + INDIRECT("R[-2]C",0) + INDIRECT("R[-3]C",0) + INDIRECT("R[-4]C",0))</f>
        <v>35.564484887633753</v>
      </c>
      <c r="F49">
        <f t="shared" ca="1" si="11"/>
        <v>20.509</v>
      </c>
      <c r="G49">
        <f t="shared" ca="1" si="11"/>
        <v>13.469999999999999</v>
      </c>
      <c r="H49">
        <f t="shared" ca="1" si="11"/>
        <v>23.45</v>
      </c>
      <c r="I49">
        <f t="shared" ca="1" si="11"/>
        <v>25.442733916865691</v>
      </c>
      <c r="J49">
        <f t="shared" ca="1" si="11"/>
        <v>31.938277413793536</v>
      </c>
      <c r="K49">
        <f t="shared" ca="1" si="11"/>
        <v>28.559345132744298</v>
      </c>
    </row>
    <row r="50" spans="1:11" x14ac:dyDescent="0.25">
      <c r="A50" t="s">
        <v>18</v>
      </c>
    </row>
    <row r="51" spans="1:11" x14ac:dyDescent="0.25">
      <c r="A51" s="1" t="s">
        <v>26</v>
      </c>
      <c r="B51" s="1" t="s">
        <v>22</v>
      </c>
      <c r="C51" s="1" t="s">
        <v>24</v>
      </c>
      <c r="D51" t="s">
        <v>10</v>
      </c>
      <c r="E51" t="s">
        <v>14</v>
      </c>
      <c r="F51" t="s">
        <v>13</v>
      </c>
      <c r="G51" t="s">
        <v>12</v>
      </c>
      <c r="H51" t="s">
        <v>11</v>
      </c>
      <c r="I51" t="s">
        <v>15</v>
      </c>
      <c r="J51" t="s">
        <v>16</v>
      </c>
      <c r="K51" t="s">
        <v>17</v>
      </c>
    </row>
    <row r="52" spans="1:11" x14ac:dyDescent="0.25">
      <c r="A52">
        <f>AxisValue(A51,4)</f>
        <v>-1.5</v>
      </c>
      <c r="B52">
        <f>AxisValue(B51,4)</f>
        <v>2.7</v>
      </c>
      <c r="C52">
        <f>AxisValue(C51,4)</f>
        <v>-7.8</v>
      </c>
      <c r="D52">
        <f ca="1">SQRT(INDIRECT("RC[-3]",0)^2 + INDIRECT("RC[-2]",0)^2 + INDIRECT("RC[-1]",0)^2)</f>
        <v>8.3892788724657379</v>
      </c>
    </row>
    <row r="53" spans="1:11" x14ac:dyDescent="0.25">
      <c r="A53">
        <f>AxisValue(A51,5)</f>
        <v>-9</v>
      </c>
      <c r="B53">
        <f>AxisValue(B51,5)</f>
        <v>1</v>
      </c>
      <c r="C53">
        <f>AxisValue(C51,5)</f>
        <v>3.5</v>
      </c>
      <c r="D53">
        <f ca="1">SQRT(INDIRECT("RC[-3]",0)^2 + INDIRECT("RC[-2]",0)^2 + INDIRECT("RC[-1]",0)^2)</f>
        <v>9.7082439194737997</v>
      </c>
      <c r="E53">
        <f ca="1">SQRT((INDIRECT("R[-1]C[-4]",0) - INDIRECT("RC[-4]",0))^2 + (INDIRECT("R[-1]C[-3]",0) - INDIRECT("RC[-3]",0))^2 + (INDIRECT("R[-1]C[-2]",0) - INDIRECT("RC[-2]",0))^2)</f>
        <v>13.668577102244404</v>
      </c>
      <c r="F53">
        <f t="shared" ref="F53:H56" ca="1" si="12">SQRT((INDIRECT("R[-1]C[-5]",0) - INDIRECT("RC[-5]",0))^2)</f>
        <v>7.5</v>
      </c>
      <c r="G53">
        <f t="shared" ca="1" si="12"/>
        <v>1.7000000000000002</v>
      </c>
      <c r="H53">
        <f t="shared" ca="1" si="12"/>
        <v>11.3</v>
      </c>
      <c r="I53">
        <f ca="1">SQRT((INDIRECT("R[-1]C[-8]",0) - INDIRECT("RC[-8]",0))^2 + (INDIRECT("R[-1]C[-7]",0) - INDIRECT("RC[-7]",0))^2)</f>
        <v>7.6902535718921516</v>
      </c>
      <c r="J53">
        <f ca="1">SQRT((INDIRECT("R[-1]C[-9]",0) - INDIRECT("RC[-9]",0))^2 + (INDIRECT("R[-1]C[-7]",0) - INDIRECT("RC[-7]",0))^2)</f>
        <v>13.56244815658294</v>
      </c>
      <c r="K53">
        <f ca="1">SQRT((INDIRECT("R[-1]C[-9]",0) - INDIRECT("RC[-9]",0))^2 + (INDIRECT("R[-1]C[-8]",0) - INDIRECT("RC[-8]",0))^2)</f>
        <v>11.427160627207444</v>
      </c>
    </row>
    <row r="54" spans="1:11" x14ac:dyDescent="0.25">
      <c r="A54">
        <f>AxisValue(A51,6)</f>
        <v>-6.33</v>
      </c>
      <c r="B54">
        <f>AxisValue(B51,6)</f>
        <v>3.33</v>
      </c>
      <c r="C54">
        <f>AxisValue(C51,6)</f>
        <v>-0.44</v>
      </c>
      <c r="D54">
        <f ca="1">SQRT(INDIRECT("RC[-3]",0)^2 + INDIRECT("RC[-2]",0)^2 + INDIRECT("RC[-1]",0)^2)</f>
        <v>7.1659891152582693</v>
      </c>
      <c r="E54">
        <f ca="1">SQRT((INDIRECT("R[-1]C[-4]",0) - INDIRECT("RC[-4]",0))^2 + (INDIRECT("R[-1]C[-3]",0) - INDIRECT("RC[-3]",0))^2 + (INDIRECT("R[-1]C[-2]",0) - INDIRECT("RC[-2]",0))^2)</f>
        <v>5.2991886171375331</v>
      </c>
      <c r="F54">
        <f t="shared" ca="1" si="12"/>
        <v>2.67</v>
      </c>
      <c r="G54">
        <f t="shared" ca="1" si="12"/>
        <v>2.33</v>
      </c>
      <c r="H54">
        <f t="shared" ca="1" si="12"/>
        <v>3.94</v>
      </c>
      <c r="I54">
        <f ca="1">SQRT((INDIRECT("R[-1]C[-8]",0) - INDIRECT("RC[-8]",0))^2 + (INDIRECT("R[-1]C[-7]",0) - INDIRECT("RC[-7]",0))^2)</f>
        <v>3.5436986327846784</v>
      </c>
      <c r="J54">
        <f ca="1">SQRT((INDIRECT("R[-1]C[-9]",0) - INDIRECT("RC[-9]",0))^2 + (INDIRECT("R[-1]C[-7]",0) - INDIRECT("RC[-7]",0))^2)</f>
        <v>4.7594642555649056</v>
      </c>
      <c r="K54">
        <f ca="1">SQRT((INDIRECT("R[-1]C[-9]",0) - INDIRECT("RC[-9]",0))^2 + (INDIRECT("R[-1]C[-8]",0) - INDIRECT("RC[-8]",0))^2)</f>
        <v>4.5773900860643284</v>
      </c>
    </row>
    <row r="55" spans="1:11" x14ac:dyDescent="0.25">
      <c r="A55">
        <f>AxisValue(A51,7)</f>
        <v>1.22</v>
      </c>
      <c r="B55">
        <f>AxisValue(B51,7)</f>
        <v>-2</v>
      </c>
      <c r="C55">
        <f>AxisValue(C51,7)</f>
        <v>3.5</v>
      </c>
      <c r="D55">
        <f ca="1">SQRT(INDIRECT("RC[-3]",0)^2 + INDIRECT("RC[-2]",0)^2 + INDIRECT("RC[-1]",0)^2)</f>
        <v>4.2116979948709519</v>
      </c>
      <c r="E55">
        <f ca="1">SQRT((INDIRECT("R[-1]C[-4]",0) - INDIRECT("RC[-4]",0))^2 + (INDIRECT("R[-1]C[-3]",0) - INDIRECT("RC[-3]",0))^2 + (INDIRECT("R[-1]C[-2]",0) - INDIRECT("RC[-2]",0))^2)</f>
        <v>10.04664122978421</v>
      </c>
      <c r="F55">
        <f t="shared" ca="1" si="12"/>
        <v>7.55</v>
      </c>
      <c r="G55">
        <f t="shared" ca="1" si="12"/>
        <v>5.33</v>
      </c>
      <c r="H55">
        <f t="shared" ca="1" si="12"/>
        <v>3.94</v>
      </c>
      <c r="I55">
        <f ca="1">SQRT((INDIRECT("R[-1]C[-8]",0) - INDIRECT("RC[-8]",0))^2 + (INDIRECT("R[-1]C[-7]",0) - INDIRECT("RC[-7]",0))^2)</f>
        <v>9.2418288233444361</v>
      </c>
      <c r="J55">
        <f ca="1">SQRT((INDIRECT("R[-1]C[-9]",0) - INDIRECT("RC[-9]",0))^2 + (INDIRECT("R[-1]C[-7]",0) - INDIRECT("RC[-7]",0))^2)</f>
        <v>8.516225689822928</v>
      </c>
      <c r="K55">
        <f ca="1">SQRT((INDIRECT("R[-1]C[-9]",0) - INDIRECT("RC[-9]",0))^2 + (INDIRECT("R[-1]C[-8]",0) - INDIRECT("RC[-8]",0))^2)</f>
        <v>6.6281596239076803</v>
      </c>
    </row>
    <row r="56" spans="1:11" x14ac:dyDescent="0.25">
      <c r="A56">
        <f>AxisValue(A51,8)</f>
        <v>4.0090000000000003</v>
      </c>
      <c r="B56">
        <f>AxisValue(B51,8)</f>
        <v>2.11</v>
      </c>
      <c r="C56">
        <f>AxisValue(C51,8)</f>
        <v>-0.77</v>
      </c>
      <c r="D56">
        <f ca="1">SQRT(INDIRECT("RC[-3]",0)^2 + INDIRECT("RC[-2]",0)^2 + INDIRECT("RC[-1]",0)^2)</f>
        <v>4.5953325233327789</v>
      </c>
      <c r="E56">
        <f ca="1">SQRT((INDIRECT("R[-1]C[-4]",0) - INDIRECT("RC[-4]",0))^2 + (INDIRECT("R[-1]C[-3]",0) - INDIRECT("RC[-3]",0))^2 + (INDIRECT("R[-1]C[-2]",0) - INDIRECT("RC[-2]",0))^2)</f>
        <v>6.5500779384676022</v>
      </c>
      <c r="F56">
        <f t="shared" ca="1" si="12"/>
        <v>2.7890000000000006</v>
      </c>
      <c r="G56">
        <f t="shared" ca="1" si="12"/>
        <v>4.1099999999999994</v>
      </c>
      <c r="H56">
        <f t="shared" ca="1" si="12"/>
        <v>4.2699999999999996</v>
      </c>
      <c r="I56">
        <f ca="1">SQRT((INDIRECT("R[-1]C[-8]",0) - INDIRECT("RC[-8]",0))^2 + (INDIRECT("R[-1]C[-7]",0) - INDIRECT("RC[-7]",0))^2)</f>
        <v>4.9669528888444265</v>
      </c>
      <c r="J56">
        <f ca="1">SQRT((INDIRECT("R[-1]C[-9]",0) - INDIRECT("RC[-9]",0))^2 + (INDIRECT("R[-1]C[-7]",0) - INDIRECT("RC[-7]",0))^2)</f>
        <v>5.1001393118227663</v>
      </c>
      <c r="K56">
        <f ca="1">SQRT((INDIRECT("R[-1]C[-9]",0) - INDIRECT("RC[-9]",0))^2 + (INDIRECT("R[-1]C[-8]",0) - INDIRECT("RC[-8]",0))^2)</f>
        <v>5.9266347955648486</v>
      </c>
    </row>
    <row r="57" spans="1:11" x14ac:dyDescent="0.25">
      <c r="D57" t="s">
        <v>4</v>
      </c>
      <c r="E57">
        <f t="shared" ref="E57:K57" ca="1" si="13">(INDIRECT("R[-1]C",0) + INDIRECT("R[-2]C",0) + INDIRECT("R[-3]C",0) + INDIRECT("R[-4]C",0))</f>
        <v>35.564484887633753</v>
      </c>
      <c r="F57">
        <f t="shared" ca="1" si="13"/>
        <v>20.509</v>
      </c>
      <c r="G57">
        <f t="shared" ca="1" si="13"/>
        <v>13.469999999999999</v>
      </c>
      <c r="H57">
        <f t="shared" ca="1" si="13"/>
        <v>23.45</v>
      </c>
      <c r="I57">
        <f t="shared" ca="1" si="13"/>
        <v>25.442733916865691</v>
      </c>
      <c r="J57">
        <f t="shared" ca="1" si="13"/>
        <v>31.938277413793536</v>
      </c>
      <c r="K57">
        <f t="shared" ca="1" si="13"/>
        <v>28.559345132744298</v>
      </c>
    </row>
    <row r="58" spans="1:11" x14ac:dyDescent="0.25">
      <c r="A58" t="s">
        <v>18</v>
      </c>
    </row>
    <row r="59" spans="1:11" x14ac:dyDescent="0.25">
      <c r="A59" s="1" t="s">
        <v>26</v>
      </c>
      <c r="B59" s="1" t="s">
        <v>25</v>
      </c>
      <c r="C59" s="1" t="s">
        <v>23</v>
      </c>
      <c r="D59" t="s">
        <v>10</v>
      </c>
      <c r="E59" t="s">
        <v>14</v>
      </c>
      <c r="F59" t="s">
        <v>13</v>
      </c>
      <c r="G59" t="s">
        <v>12</v>
      </c>
      <c r="H59" t="s">
        <v>11</v>
      </c>
      <c r="I59" t="s">
        <v>15</v>
      </c>
      <c r="J59" t="s">
        <v>16</v>
      </c>
      <c r="K59" t="s">
        <v>17</v>
      </c>
    </row>
    <row r="60" spans="1:11" x14ac:dyDescent="0.25">
      <c r="A60">
        <f>AxisValue(A59,4)</f>
        <v>-1.5</v>
      </c>
      <c r="B60">
        <f>AxisValue(B59,4)</f>
        <v>-2.7</v>
      </c>
      <c r="C60">
        <f>AxisValue(C59,4)</f>
        <v>7.8</v>
      </c>
      <c r="D60">
        <f ca="1">SQRT(INDIRECT("RC[-3]",0)^2 + INDIRECT("RC[-2]",0)^2 + INDIRECT("RC[-1]",0)^2)</f>
        <v>8.3892788724657379</v>
      </c>
    </row>
    <row r="61" spans="1:11" x14ac:dyDescent="0.25">
      <c r="A61">
        <f>AxisValue(A59,5)</f>
        <v>-9</v>
      </c>
      <c r="B61">
        <f>AxisValue(B59,5)</f>
        <v>-1</v>
      </c>
      <c r="C61">
        <f>AxisValue(C59,5)</f>
        <v>-3.5</v>
      </c>
      <c r="D61">
        <f ca="1">SQRT(INDIRECT("RC[-3]",0)^2 + INDIRECT("RC[-2]",0)^2 + INDIRECT("RC[-1]",0)^2)</f>
        <v>9.7082439194737997</v>
      </c>
      <c r="E61">
        <f ca="1">SQRT((INDIRECT("R[-1]C[-4]",0) - INDIRECT("RC[-4]",0))^2 + (INDIRECT("R[-1]C[-3]",0) - INDIRECT("RC[-3]",0))^2 + (INDIRECT("R[-1]C[-2]",0) - INDIRECT("RC[-2]",0))^2)</f>
        <v>13.668577102244404</v>
      </c>
      <c r="F61">
        <f t="shared" ref="F61:H64" ca="1" si="14">SQRT((INDIRECT("R[-1]C[-5]",0) - INDIRECT("RC[-5]",0))^2)</f>
        <v>7.5</v>
      </c>
      <c r="G61">
        <f t="shared" ca="1" si="14"/>
        <v>1.7000000000000002</v>
      </c>
      <c r="H61">
        <f t="shared" ca="1" si="14"/>
        <v>11.3</v>
      </c>
      <c r="I61">
        <f ca="1">SQRT((INDIRECT("R[-1]C[-8]",0) - INDIRECT("RC[-8]",0))^2 + (INDIRECT("R[-1]C[-7]",0) - INDIRECT("RC[-7]",0))^2)</f>
        <v>7.6902535718921516</v>
      </c>
      <c r="J61">
        <f ca="1">SQRT((INDIRECT("R[-1]C[-9]",0) - INDIRECT("RC[-9]",0))^2 + (INDIRECT("R[-1]C[-7]",0) - INDIRECT("RC[-7]",0))^2)</f>
        <v>13.56244815658294</v>
      </c>
      <c r="K61">
        <f ca="1">SQRT((INDIRECT("R[-1]C[-9]",0) - INDIRECT("RC[-9]",0))^2 + (INDIRECT("R[-1]C[-8]",0) - INDIRECT("RC[-8]",0))^2)</f>
        <v>11.427160627207444</v>
      </c>
    </row>
    <row r="62" spans="1:11" x14ac:dyDescent="0.25">
      <c r="A62">
        <f>AxisValue(A59,6)</f>
        <v>-6.33</v>
      </c>
      <c r="B62">
        <f>AxisValue(B59,6)</f>
        <v>-3.33</v>
      </c>
      <c r="C62">
        <f>AxisValue(C59,6)</f>
        <v>0.44</v>
      </c>
      <c r="D62">
        <f ca="1">SQRT(INDIRECT("RC[-3]",0)^2 + INDIRECT("RC[-2]",0)^2 + INDIRECT("RC[-1]",0)^2)</f>
        <v>7.1659891152582693</v>
      </c>
      <c r="E62">
        <f ca="1">SQRT((INDIRECT("R[-1]C[-4]",0) - INDIRECT("RC[-4]",0))^2 + (INDIRECT("R[-1]C[-3]",0) - INDIRECT("RC[-3]",0))^2 + (INDIRECT("R[-1]C[-2]",0) - INDIRECT("RC[-2]",0))^2)</f>
        <v>5.2991886171375331</v>
      </c>
      <c r="F62">
        <f t="shared" ca="1" si="14"/>
        <v>2.67</v>
      </c>
      <c r="G62">
        <f t="shared" ca="1" si="14"/>
        <v>2.33</v>
      </c>
      <c r="H62">
        <f t="shared" ca="1" si="14"/>
        <v>3.94</v>
      </c>
      <c r="I62">
        <f ca="1">SQRT((INDIRECT("R[-1]C[-8]",0) - INDIRECT("RC[-8]",0))^2 + (INDIRECT("R[-1]C[-7]",0) - INDIRECT("RC[-7]",0))^2)</f>
        <v>3.5436986327846784</v>
      </c>
      <c r="J62">
        <f ca="1">SQRT((INDIRECT("R[-1]C[-9]",0) - INDIRECT("RC[-9]",0))^2 + (INDIRECT("R[-1]C[-7]",0) - INDIRECT("RC[-7]",0))^2)</f>
        <v>4.7594642555649056</v>
      </c>
      <c r="K62">
        <f ca="1">SQRT((INDIRECT("R[-1]C[-9]",0) - INDIRECT("RC[-9]",0))^2 + (INDIRECT("R[-1]C[-8]",0) - INDIRECT("RC[-8]",0))^2)</f>
        <v>4.5773900860643284</v>
      </c>
    </row>
    <row r="63" spans="1:11" x14ac:dyDescent="0.25">
      <c r="A63">
        <f>AxisValue(A59,7)</f>
        <v>1.22</v>
      </c>
      <c r="B63">
        <f>AxisValue(B59,7)</f>
        <v>2</v>
      </c>
      <c r="C63">
        <f>AxisValue(C59,7)</f>
        <v>-3.5</v>
      </c>
      <c r="D63">
        <f ca="1">SQRT(INDIRECT("RC[-3]",0)^2 + INDIRECT("RC[-2]",0)^2 + INDIRECT("RC[-1]",0)^2)</f>
        <v>4.2116979948709519</v>
      </c>
      <c r="E63">
        <f ca="1">SQRT((INDIRECT("R[-1]C[-4]",0) - INDIRECT("RC[-4]",0))^2 + (INDIRECT("R[-1]C[-3]",0) - INDIRECT("RC[-3]",0))^2 + (INDIRECT("R[-1]C[-2]",0) - INDIRECT("RC[-2]",0))^2)</f>
        <v>10.04664122978421</v>
      </c>
      <c r="F63">
        <f t="shared" ca="1" si="14"/>
        <v>7.55</v>
      </c>
      <c r="G63">
        <f t="shared" ca="1" si="14"/>
        <v>5.33</v>
      </c>
      <c r="H63">
        <f t="shared" ca="1" si="14"/>
        <v>3.94</v>
      </c>
      <c r="I63">
        <f ca="1">SQRT((INDIRECT("R[-1]C[-8]",0) - INDIRECT("RC[-8]",0))^2 + (INDIRECT("R[-1]C[-7]",0) - INDIRECT("RC[-7]",0))^2)</f>
        <v>9.2418288233444361</v>
      </c>
      <c r="J63">
        <f ca="1">SQRT((INDIRECT("R[-1]C[-9]",0) - INDIRECT("RC[-9]",0))^2 + (INDIRECT("R[-1]C[-7]",0) - INDIRECT("RC[-7]",0))^2)</f>
        <v>8.516225689822928</v>
      </c>
      <c r="K63">
        <f ca="1">SQRT((INDIRECT("R[-1]C[-9]",0) - INDIRECT("RC[-9]",0))^2 + (INDIRECT("R[-1]C[-8]",0) - INDIRECT("RC[-8]",0))^2)</f>
        <v>6.6281596239076803</v>
      </c>
    </row>
    <row r="64" spans="1:11" x14ac:dyDescent="0.25">
      <c r="A64">
        <f>AxisValue(A59,8)</f>
        <v>4.0090000000000003</v>
      </c>
      <c r="B64">
        <f>AxisValue(B59,8)</f>
        <v>-2.11</v>
      </c>
      <c r="C64">
        <f>AxisValue(C59,8)</f>
        <v>0.77</v>
      </c>
      <c r="D64">
        <f ca="1">SQRT(INDIRECT("RC[-3]",0)^2 + INDIRECT("RC[-2]",0)^2 + INDIRECT("RC[-1]",0)^2)</f>
        <v>4.5953325233327789</v>
      </c>
      <c r="E64">
        <f ca="1">SQRT((INDIRECT("R[-1]C[-4]",0) - INDIRECT("RC[-4]",0))^2 + (INDIRECT("R[-1]C[-3]",0) - INDIRECT("RC[-3]",0))^2 + (INDIRECT("R[-1]C[-2]",0) - INDIRECT("RC[-2]",0))^2)</f>
        <v>6.5500779384676022</v>
      </c>
      <c r="F64">
        <f t="shared" ca="1" si="14"/>
        <v>2.7890000000000006</v>
      </c>
      <c r="G64">
        <f t="shared" ca="1" si="14"/>
        <v>4.1099999999999994</v>
      </c>
      <c r="H64">
        <f t="shared" ca="1" si="14"/>
        <v>4.2699999999999996</v>
      </c>
      <c r="I64">
        <f ca="1">SQRT((INDIRECT("R[-1]C[-8]",0) - INDIRECT("RC[-8]",0))^2 + (INDIRECT("R[-1]C[-7]",0) - INDIRECT("RC[-7]",0))^2)</f>
        <v>4.9669528888444265</v>
      </c>
      <c r="J64">
        <f ca="1">SQRT((INDIRECT("R[-1]C[-9]",0) - INDIRECT("RC[-9]",0))^2 + (INDIRECT("R[-1]C[-7]",0) - INDIRECT("RC[-7]",0))^2)</f>
        <v>5.1001393118227663</v>
      </c>
      <c r="K64">
        <f ca="1">SQRT((INDIRECT("R[-1]C[-9]",0) - INDIRECT("RC[-9]",0))^2 + (INDIRECT("R[-1]C[-8]",0) - INDIRECT("RC[-8]",0))^2)</f>
        <v>5.9266347955648486</v>
      </c>
    </row>
    <row r="65" spans="1:11" x14ac:dyDescent="0.25">
      <c r="D65" t="s">
        <v>4</v>
      </c>
      <c r="E65">
        <f t="shared" ref="E65:K65" ca="1" si="15">(INDIRECT("R[-1]C",0) + INDIRECT("R[-2]C",0) + INDIRECT("R[-3]C",0) + INDIRECT("R[-4]C",0))</f>
        <v>35.564484887633753</v>
      </c>
      <c r="F65">
        <f t="shared" ca="1" si="15"/>
        <v>20.509</v>
      </c>
      <c r="G65">
        <f t="shared" ca="1" si="15"/>
        <v>13.469999999999999</v>
      </c>
      <c r="H65">
        <f t="shared" ca="1" si="15"/>
        <v>23.45</v>
      </c>
      <c r="I65">
        <f t="shared" ca="1" si="15"/>
        <v>25.442733916865691</v>
      </c>
      <c r="J65">
        <f t="shared" ca="1" si="15"/>
        <v>31.938277413793536</v>
      </c>
      <c r="K65">
        <f t="shared" ca="1" si="15"/>
        <v>28.559345132744298</v>
      </c>
    </row>
    <row r="66" spans="1:11" x14ac:dyDescent="0.25">
      <c r="A66" t="s">
        <v>18</v>
      </c>
    </row>
    <row r="67" spans="1:11" x14ac:dyDescent="0.25">
      <c r="A67" s="1" t="s">
        <v>27</v>
      </c>
      <c r="B67" s="1" t="s">
        <v>25</v>
      </c>
      <c r="C67" s="1" t="s">
        <v>24</v>
      </c>
      <c r="D67" t="s">
        <v>10</v>
      </c>
      <c r="E67" t="s">
        <v>14</v>
      </c>
      <c r="F67" t="s">
        <v>13</v>
      </c>
      <c r="G67" t="s">
        <v>12</v>
      </c>
      <c r="H67" t="s">
        <v>11</v>
      </c>
      <c r="I67" t="s">
        <v>15</v>
      </c>
      <c r="J67" t="s">
        <v>16</v>
      </c>
      <c r="K67" t="s">
        <v>17</v>
      </c>
    </row>
    <row r="68" spans="1:11" x14ac:dyDescent="0.25">
      <c r="A68">
        <f>AxisValue(A67,4)</f>
        <v>-1.5</v>
      </c>
      <c r="B68">
        <f>AxisValue(B67,4)</f>
        <v>-2.7</v>
      </c>
      <c r="C68">
        <f>AxisValue(C67,4)</f>
        <v>-7.8</v>
      </c>
      <c r="D68">
        <f ca="1">SQRT(INDIRECT("RC[-3]",0)^2 + INDIRECT("RC[-2]",0)^2 + INDIRECT("RC[-1]",0)^2)</f>
        <v>8.3892788724657379</v>
      </c>
    </row>
    <row r="69" spans="1:11" x14ac:dyDescent="0.25">
      <c r="A69">
        <f>AxisValue(A67,5)</f>
        <v>-9</v>
      </c>
      <c r="B69">
        <f>AxisValue(B67,5)</f>
        <v>-1</v>
      </c>
      <c r="C69">
        <f>AxisValue(C67,5)</f>
        <v>3.5</v>
      </c>
      <c r="D69">
        <f ca="1">SQRT(INDIRECT("RC[-3]",0)^2 + INDIRECT("RC[-2]",0)^2 + INDIRECT("RC[-1]",0)^2)</f>
        <v>9.7082439194737997</v>
      </c>
      <c r="E69">
        <f ca="1">SQRT((INDIRECT("R[-1]C[-4]",0) - INDIRECT("RC[-4]",0))^2 + (INDIRECT("R[-1]C[-3]",0) - INDIRECT("RC[-3]",0))^2 + (INDIRECT("R[-1]C[-2]",0) - INDIRECT("RC[-2]",0))^2)</f>
        <v>13.668577102244404</v>
      </c>
      <c r="F69">
        <f t="shared" ref="F69:H72" ca="1" si="16">SQRT((INDIRECT("R[-1]C[-5]",0) - INDIRECT("RC[-5]",0))^2)</f>
        <v>7.5</v>
      </c>
      <c r="G69">
        <f t="shared" ca="1" si="16"/>
        <v>1.7000000000000002</v>
      </c>
      <c r="H69">
        <f t="shared" ca="1" si="16"/>
        <v>11.3</v>
      </c>
      <c r="I69">
        <f ca="1">SQRT((INDIRECT("R[-1]C[-8]",0) - INDIRECT("RC[-8]",0))^2 + (INDIRECT("R[-1]C[-7]",0) - INDIRECT("RC[-7]",0))^2)</f>
        <v>7.6902535718921516</v>
      </c>
      <c r="J69">
        <f ca="1">SQRT((INDIRECT("R[-1]C[-9]",0) - INDIRECT("RC[-9]",0))^2 + (INDIRECT("R[-1]C[-7]",0) - INDIRECT("RC[-7]",0))^2)</f>
        <v>13.56244815658294</v>
      </c>
      <c r="K69">
        <f ca="1">SQRT((INDIRECT("R[-1]C[-9]",0) - INDIRECT("RC[-9]",0))^2 + (INDIRECT("R[-1]C[-8]",0) - INDIRECT("RC[-8]",0))^2)</f>
        <v>11.427160627207444</v>
      </c>
    </row>
    <row r="70" spans="1:11" x14ac:dyDescent="0.25">
      <c r="A70">
        <f>AxisValue(A67,6)</f>
        <v>-6.33</v>
      </c>
      <c r="B70">
        <f>AxisValue(B67,6)</f>
        <v>-3.33</v>
      </c>
      <c r="C70">
        <f>AxisValue(C67,6)</f>
        <v>-0.44</v>
      </c>
      <c r="D70">
        <f ca="1">SQRT(INDIRECT("RC[-3]",0)^2 + INDIRECT("RC[-2]",0)^2 + INDIRECT("RC[-1]",0)^2)</f>
        <v>7.1659891152582693</v>
      </c>
      <c r="E70">
        <f ca="1">SQRT((INDIRECT("R[-1]C[-4]",0) - INDIRECT("RC[-4]",0))^2 + (INDIRECT("R[-1]C[-3]",0) - INDIRECT("RC[-3]",0))^2 + (INDIRECT("R[-1]C[-2]",0) - INDIRECT("RC[-2]",0))^2)</f>
        <v>5.2991886171375331</v>
      </c>
      <c r="F70">
        <f t="shared" ca="1" si="16"/>
        <v>2.67</v>
      </c>
      <c r="G70">
        <f t="shared" ca="1" si="16"/>
        <v>2.33</v>
      </c>
      <c r="H70">
        <f t="shared" ca="1" si="16"/>
        <v>3.94</v>
      </c>
      <c r="I70">
        <f ca="1">SQRT((INDIRECT("R[-1]C[-8]",0) - INDIRECT("RC[-8]",0))^2 + (INDIRECT("R[-1]C[-7]",0) - INDIRECT("RC[-7]",0))^2)</f>
        <v>3.5436986327846784</v>
      </c>
      <c r="J70">
        <f ca="1">SQRT((INDIRECT("R[-1]C[-9]",0) - INDIRECT("RC[-9]",0))^2 + (INDIRECT("R[-1]C[-7]",0) - INDIRECT("RC[-7]",0))^2)</f>
        <v>4.7594642555649056</v>
      </c>
      <c r="K70">
        <f ca="1">SQRT((INDIRECT("R[-1]C[-9]",0) - INDIRECT("RC[-9]",0))^2 + (INDIRECT("R[-1]C[-8]",0) - INDIRECT("RC[-8]",0))^2)</f>
        <v>4.5773900860643284</v>
      </c>
    </row>
    <row r="71" spans="1:11" x14ac:dyDescent="0.25">
      <c r="A71">
        <f>AxisValue(A67,7)</f>
        <v>1.22</v>
      </c>
      <c r="B71">
        <f>AxisValue(B67,7)</f>
        <v>2</v>
      </c>
      <c r="C71">
        <f>AxisValue(C67,7)</f>
        <v>3.5</v>
      </c>
      <c r="D71">
        <f ca="1">SQRT(INDIRECT("RC[-3]",0)^2 + INDIRECT("RC[-2]",0)^2 + INDIRECT("RC[-1]",0)^2)</f>
        <v>4.2116979948709519</v>
      </c>
      <c r="E71">
        <f ca="1">SQRT((INDIRECT("R[-1]C[-4]",0) - INDIRECT("RC[-4]",0))^2 + (INDIRECT("R[-1]C[-3]",0) - INDIRECT("RC[-3]",0))^2 + (INDIRECT("R[-1]C[-2]",0) - INDIRECT("RC[-2]",0))^2)</f>
        <v>10.04664122978421</v>
      </c>
      <c r="F71">
        <f t="shared" ca="1" si="16"/>
        <v>7.55</v>
      </c>
      <c r="G71">
        <f t="shared" ca="1" si="16"/>
        <v>5.33</v>
      </c>
      <c r="H71">
        <f t="shared" ca="1" si="16"/>
        <v>3.94</v>
      </c>
      <c r="I71">
        <f ca="1">SQRT((INDIRECT("R[-1]C[-8]",0) - INDIRECT("RC[-8]",0))^2 + (INDIRECT("R[-1]C[-7]",0) - INDIRECT("RC[-7]",0))^2)</f>
        <v>9.2418288233444361</v>
      </c>
      <c r="J71">
        <f ca="1">SQRT((INDIRECT("R[-1]C[-9]",0) - INDIRECT("RC[-9]",0))^2 + (INDIRECT("R[-1]C[-7]",0) - INDIRECT("RC[-7]",0))^2)</f>
        <v>8.516225689822928</v>
      </c>
      <c r="K71">
        <f ca="1">SQRT((INDIRECT("R[-1]C[-9]",0) - INDIRECT("RC[-9]",0))^2 + (INDIRECT("R[-1]C[-8]",0) - INDIRECT("RC[-8]",0))^2)</f>
        <v>6.6281596239076803</v>
      </c>
    </row>
    <row r="72" spans="1:11" x14ac:dyDescent="0.25">
      <c r="A72">
        <f>AxisValue(A67,8)</f>
        <v>4.0090000000000003</v>
      </c>
      <c r="B72">
        <f>AxisValue(B67,8)</f>
        <v>-2.11</v>
      </c>
      <c r="C72">
        <f>AxisValue(C67,8)</f>
        <v>-0.77</v>
      </c>
      <c r="D72">
        <f ca="1">SQRT(INDIRECT("RC[-3]",0)^2 + INDIRECT("RC[-2]",0)^2 + INDIRECT("RC[-1]",0)^2)</f>
        <v>4.5953325233327789</v>
      </c>
      <c r="E72">
        <f ca="1">SQRT((INDIRECT("R[-1]C[-4]",0) - INDIRECT("RC[-4]",0))^2 + (INDIRECT("R[-1]C[-3]",0) - INDIRECT("RC[-3]",0))^2 + (INDIRECT("R[-1]C[-2]",0) - INDIRECT("RC[-2]",0))^2)</f>
        <v>6.5500779384676022</v>
      </c>
      <c r="F72">
        <f t="shared" ca="1" si="16"/>
        <v>2.7890000000000006</v>
      </c>
      <c r="G72">
        <f t="shared" ca="1" si="16"/>
        <v>4.1099999999999994</v>
      </c>
      <c r="H72">
        <f t="shared" ca="1" si="16"/>
        <v>4.2699999999999996</v>
      </c>
      <c r="I72">
        <f ca="1">SQRT((INDIRECT("R[-1]C[-8]",0) - INDIRECT("RC[-8]",0))^2 + (INDIRECT("R[-1]C[-7]",0) - INDIRECT("RC[-7]",0))^2)</f>
        <v>4.9669528888444265</v>
      </c>
      <c r="J72">
        <f ca="1">SQRT((INDIRECT("R[-1]C[-9]",0) - INDIRECT("RC[-9]",0))^2 + (INDIRECT("R[-1]C[-7]",0) - INDIRECT("RC[-7]",0))^2)</f>
        <v>5.1001393118227663</v>
      </c>
      <c r="K72">
        <f ca="1">SQRT((INDIRECT("R[-1]C[-9]",0) - INDIRECT("RC[-9]",0))^2 + (INDIRECT("R[-1]C[-8]",0) - INDIRECT("RC[-8]",0))^2)</f>
        <v>5.9266347955648486</v>
      </c>
    </row>
    <row r="73" spans="1:11" x14ac:dyDescent="0.25">
      <c r="D73" t="s">
        <v>4</v>
      </c>
      <c r="E73">
        <f t="shared" ref="E73:K73" ca="1" si="17">(INDIRECT("R[-1]C",0) + INDIRECT("R[-2]C",0) + INDIRECT("R[-3]C",0) + INDIRECT("R[-4]C",0))</f>
        <v>35.564484887633753</v>
      </c>
      <c r="F73">
        <f t="shared" ca="1" si="17"/>
        <v>20.509</v>
      </c>
      <c r="G73">
        <f t="shared" ca="1" si="17"/>
        <v>13.469999999999999</v>
      </c>
      <c r="H73">
        <f t="shared" ca="1" si="17"/>
        <v>23.45</v>
      </c>
      <c r="I73">
        <f t="shared" ca="1" si="17"/>
        <v>25.442733916865691</v>
      </c>
      <c r="J73">
        <f t="shared" ca="1" si="17"/>
        <v>31.938277413793536</v>
      </c>
      <c r="K73">
        <f t="shared" ca="1" si="17"/>
        <v>28.559345132744298</v>
      </c>
    </row>
    <row r="74" spans="1:11" x14ac:dyDescent="0.25">
      <c r="A74" t="s">
        <v>18</v>
      </c>
    </row>
    <row r="75" spans="1:11" x14ac:dyDescent="0.25">
      <c r="A75" s="1" t="s">
        <v>21</v>
      </c>
      <c r="B75" s="1" t="s">
        <v>23</v>
      </c>
      <c r="C75" s="1" t="s">
        <v>22</v>
      </c>
      <c r="D75" t="s">
        <v>10</v>
      </c>
      <c r="E75" t="s">
        <v>14</v>
      </c>
      <c r="F75" t="s">
        <v>13</v>
      </c>
      <c r="G75" t="s">
        <v>12</v>
      </c>
      <c r="H75" t="s">
        <v>11</v>
      </c>
      <c r="I75" t="s">
        <v>15</v>
      </c>
      <c r="J75" t="s">
        <v>16</v>
      </c>
      <c r="K75" t="s">
        <v>17</v>
      </c>
    </row>
    <row r="76" spans="1:11" x14ac:dyDescent="0.25">
      <c r="A76">
        <f>AxisValue(A75,4)</f>
        <v>1.5</v>
      </c>
      <c r="B76">
        <f>AxisValue(B75,4)</f>
        <v>7.8</v>
      </c>
      <c r="C76">
        <f>AxisValue(C75,4)</f>
        <v>2.7</v>
      </c>
      <c r="D76">
        <f ca="1">SQRT(INDIRECT("RC[-3]",0)^2 + INDIRECT("RC[-2]",0)^2 + INDIRECT("RC[-1]",0)^2)</f>
        <v>8.3892788724657379</v>
      </c>
    </row>
    <row r="77" spans="1:11" x14ac:dyDescent="0.25">
      <c r="A77">
        <f>AxisValue(A75,5)</f>
        <v>9</v>
      </c>
      <c r="B77">
        <f>AxisValue(B75,5)</f>
        <v>-3.5</v>
      </c>
      <c r="C77">
        <f>AxisValue(C75,5)</f>
        <v>1</v>
      </c>
      <c r="D77">
        <f ca="1">SQRT(INDIRECT("RC[-3]",0)^2 + INDIRECT("RC[-2]",0)^2 + INDIRECT("RC[-1]",0)^2)</f>
        <v>9.7082439194737997</v>
      </c>
      <c r="E77">
        <f ca="1">SQRT((INDIRECT("R[-1]C[-4]",0) - INDIRECT("RC[-4]",0))^2 + (INDIRECT("R[-1]C[-3]",0) - INDIRECT("RC[-3]",0))^2 + (INDIRECT("R[-1]C[-2]",0) - INDIRECT("RC[-2]",0))^2)</f>
        <v>13.668577102244402</v>
      </c>
      <c r="F77">
        <f t="shared" ref="F77:H80" ca="1" si="18">SQRT((INDIRECT("R[-1]C[-5]",0) - INDIRECT("RC[-5]",0))^2)</f>
        <v>7.5</v>
      </c>
      <c r="G77">
        <f t="shared" ca="1" si="18"/>
        <v>11.3</v>
      </c>
      <c r="H77">
        <f t="shared" ca="1" si="18"/>
        <v>1.7000000000000002</v>
      </c>
      <c r="I77">
        <f ca="1">SQRT((INDIRECT("R[-1]C[-8]",0) - INDIRECT("RC[-8]",0))^2 + (INDIRECT("R[-1]C[-7]",0) - INDIRECT("RC[-7]",0))^2)</f>
        <v>13.56244815658294</v>
      </c>
      <c r="J77">
        <f ca="1">SQRT((INDIRECT("R[-1]C[-9]",0) - INDIRECT("RC[-9]",0))^2 + (INDIRECT("R[-1]C[-7]",0) - INDIRECT("RC[-7]",0))^2)</f>
        <v>7.6902535718921516</v>
      </c>
      <c r="K77">
        <f ca="1">SQRT((INDIRECT("R[-1]C[-9]",0) - INDIRECT("RC[-9]",0))^2 + (INDIRECT("R[-1]C[-8]",0) - INDIRECT("RC[-8]",0))^2)</f>
        <v>11.427160627207444</v>
      </c>
    </row>
    <row r="78" spans="1:11" x14ac:dyDescent="0.25">
      <c r="A78">
        <f>AxisValue(A75,6)</f>
        <v>6.33</v>
      </c>
      <c r="B78">
        <f>AxisValue(B75,6)</f>
        <v>0.44</v>
      </c>
      <c r="C78">
        <f>AxisValue(C75,6)</f>
        <v>3.33</v>
      </c>
      <c r="D78">
        <f ca="1">SQRT(INDIRECT("RC[-3]",0)^2 + INDIRECT("RC[-2]",0)^2 + INDIRECT("RC[-1]",0)^2)</f>
        <v>7.1659891152582702</v>
      </c>
      <c r="E78">
        <f ca="1">SQRT((INDIRECT("R[-1]C[-4]",0) - INDIRECT("RC[-4]",0))^2 + (INDIRECT("R[-1]C[-3]",0) - INDIRECT("RC[-3]",0))^2 + (INDIRECT("R[-1]C[-2]",0) - INDIRECT("RC[-2]",0))^2)</f>
        <v>5.2991886171375331</v>
      </c>
      <c r="F78">
        <f t="shared" ca="1" si="18"/>
        <v>2.67</v>
      </c>
      <c r="G78">
        <f t="shared" ca="1" si="18"/>
        <v>3.94</v>
      </c>
      <c r="H78">
        <f t="shared" ca="1" si="18"/>
        <v>2.33</v>
      </c>
      <c r="I78">
        <f ca="1">SQRT((INDIRECT("R[-1]C[-8]",0) - INDIRECT("RC[-8]",0))^2 + (INDIRECT("R[-1]C[-7]",0) - INDIRECT("RC[-7]",0))^2)</f>
        <v>4.7594642555649056</v>
      </c>
      <c r="J78">
        <f ca="1">SQRT((INDIRECT("R[-1]C[-9]",0) - INDIRECT("RC[-9]",0))^2 + (INDIRECT("R[-1]C[-7]",0) - INDIRECT("RC[-7]",0))^2)</f>
        <v>3.5436986327846784</v>
      </c>
      <c r="K78">
        <f ca="1">SQRT((INDIRECT("R[-1]C[-9]",0) - INDIRECT("RC[-9]",0))^2 + (INDIRECT("R[-1]C[-8]",0) - INDIRECT("RC[-8]",0))^2)</f>
        <v>4.5773900860643284</v>
      </c>
    </row>
    <row r="79" spans="1:11" x14ac:dyDescent="0.25">
      <c r="A79">
        <f>AxisValue(A75,7)</f>
        <v>-1.22</v>
      </c>
      <c r="B79">
        <f>AxisValue(B75,7)</f>
        <v>-3.5</v>
      </c>
      <c r="C79">
        <f>AxisValue(C75,7)</f>
        <v>-2</v>
      </c>
      <c r="D79">
        <f ca="1">SQRT(INDIRECT("RC[-3]",0)^2 + INDIRECT("RC[-2]",0)^2 + INDIRECT("RC[-1]",0)^2)</f>
        <v>4.2116979948709519</v>
      </c>
      <c r="E79">
        <f ca="1">SQRT((INDIRECT("R[-1]C[-4]",0) - INDIRECT("RC[-4]",0))^2 + (INDIRECT("R[-1]C[-3]",0) - INDIRECT("RC[-3]",0))^2 + (INDIRECT("R[-1]C[-2]",0) - INDIRECT("RC[-2]",0))^2)</f>
        <v>10.04664122978421</v>
      </c>
      <c r="F79">
        <f t="shared" ca="1" si="18"/>
        <v>7.55</v>
      </c>
      <c r="G79">
        <f t="shared" ca="1" si="18"/>
        <v>3.94</v>
      </c>
      <c r="H79">
        <f t="shared" ca="1" si="18"/>
        <v>5.33</v>
      </c>
      <c r="I79">
        <f ca="1">SQRT((INDIRECT("R[-1]C[-8]",0) - INDIRECT("RC[-8]",0))^2 + (INDIRECT("R[-1]C[-7]",0) - INDIRECT("RC[-7]",0))^2)</f>
        <v>8.516225689822928</v>
      </c>
      <c r="J79">
        <f ca="1">SQRT((INDIRECT("R[-1]C[-9]",0) - INDIRECT("RC[-9]",0))^2 + (INDIRECT("R[-1]C[-7]",0) - INDIRECT("RC[-7]",0))^2)</f>
        <v>9.2418288233444361</v>
      </c>
      <c r="K79">
        <f ca="1">SQRT((INDIRECT("R[-1]C[-9]",0) - INDIRECT("RC[-9]",0))^2 + (INDIRECT("R[-1]C[-8]",0) - INDIRECT("RC[-8]",0))^2)</f>
        <v>6.6281596239076803</v>
      </c>
    </row>
    <row r="80" spans="1:11" x14ac:dyDescent="0.25">
      <c r="A80">
        <f>AxisValue(A75,8)</f>
        <v>-4.0090000000000003</v>
      </c>
      <c r="B80">
        <f>AxisValue(B75,8)</f>
        <v>0.77</v>
      </c>
      <c r="C80">
        <f>AxisValue(C75,8)</f>
        <v>2.11</v>
      </c>
      <c r="D80">
        <f ca="1">SQRT(INDIRECT("RC[-3]",0)^2 + INDIRECT("RC[-2]",0)^2 + INDIRECT("RC[-1]",0)^2)</f>
        <v>4.5953325233327789</v>
      </c>
      <c r="E80">
        <f ca="1">SQRT((INDIRECT("R[-1]C[-4]",0) - INDIRECT("RC[-4]",0))^2 + (INDIRECT("R[-1]C[-3]",0) - INDIRECT("RC[-3]",0))^2 + (INDIRECT("R[-1]C[-2]",0) - INDIRECT("RC[-2]",0))^2)</f>
        <v>6.5500779384676022</v>
      </c>
      <c r="F80">
        <f t="shared" ca="1" si="18"/>
        <v>2.7890000000000006</v>
      </c>
      <c r="G80">
        <f t="shared" ca="1" si="18"/>
        <v>4.2699999999999996</v>
      </c>
      <c r="H80">
        <f t="shared" ca="1" si="18"/>
        <v>4.1099999999999994</v>
      </c>
      <c r="I80">
        <f ca="1">SQRT((INDIRECT("R[-1]C[-8]",0) - INDIRECT("RC[-8]",0))^2 + (INDIRECT("R[-1]C[-7]",0) - INDIRECT("RC[-7]",0))^2)</f>
        <v>5.1001393118227663</v>
      </c>
      <c r="J80">
        <f ca="1">SQRT((INDIRECT("R[-1]C[-9]",0) - INDIRECT("RC[-9]",0))^2 + (INDIRECT("R[-1]C[-7]",0) - INDIRECT("RC[-7]",0))^2)</f>
        <v>4.9669528888444265</v>
      </c>
      <c r="K80">
        <f ca="1">SQRT((INDIRECT("R[-1]C[-9]",0) - INDIRECT("RC[-9]",0))^2 + (INDIRECT("R[-1]C[-8]",0) - INDIRECT("RC[-8]",0))^2)</f>
        <v>5.9266347955648486</v>
      </c>
    </row>
    <row r="81" spans="1:11" x14ac:dyDescent="0.25">
      <c r="D81" t="s">
        <v>4</v>
      </c>
      <c r="E81">
        <f t="shared" ref="E81:K81" ca="1" si="19">(INDIRECT("R[-1]C",0) + INDIRECT("R[-2]C",0) + INDIRECT("R[-3]C",0) + INDIRECT("R[-4]C",0))</f>
        <v>35.564484887633753</v>
      </c>
      <c r="F81">
        <f t="shared" ca="1" si="19"/>
        <v>20.509</v>
      </c>
      <c r="G81">
        <f t="shared" ca="1" si="19"/>
        <v>23.45</v>
      </c>
      <c r="H81">
        <f t="shared" ca="1" si="19"/>
        <v>13.469999999999999</v>
      </c>
      <c r="I81">
        <f t="shared" ca="1" si="19"/>
        <v>31.938277413793536</v>
      </c>
      <c r="J81">
        <f t="shared" ca="1" si="19"/>
        <v>25.442733916865691</v>
      </c>
      <c r="K81">
        <f t="shared" ca="1" si="19"/>
        <v>28.559345132744298</v>
      </c>
    </row>
    <row r="82" spans="1:11" x14ac:dyDescent="0.25">
      <c r="A82" t="s">
        <v>18</v>
      </c>
    </row>
    <row r="83" spans="1:11" x14ac:dyDescent="0.25">
      <c r="A83" s="1" t="s">
        <v>21</v>
      </c>
      <c r="B83" s="1" t="s">
        <v>23</v>
      </c>
      <c r="C83" s="1" t="s">
        <v>25</v>
      </c>
      <c r="D83" t="s">
        <v>10</v>
      </c>
      <c r="E83" t="s">
        <v>14</v>
      </c>
      <c r="F83" t="s">
        <v>13</v>
      </c>
      <c r="G83" t="s">
        <v>12</v>
      </c>
      <c r="H83" t="s">
        <v>11</v>
      </c>
      <c r="I83" t="s">
        <v>15</v>
      </c>
      <c r="J83" t="s">
        <v>16</v>
      </c>
      <c r="K83" t="s">
        <v>17</v>
      </c>
    </row>
    <row r="84" spans="1:11" x14ac:dyDescent="0.25">
      <c r="A84">
        <f>AxisValue(A83,4)</f>
        <v>1.5</v>
      </c>
      <c r="B84">
        <f>AxisValue(B83,4)</f>
        <v>7.8</v>
      </c>
      <c r="C84">
        <f>AxisValue(C83,4)</f>
        <v>-2.7</v>
      </c>
      <c r="D84">
        <f ca="1">SQRT(INDIRECT("RC[-3]",0)^2 + INDIRECT("RC[-2]",0)^2 + INDIRECT("RC[-1]",0)^2)</f>
        <v>8.3892788724657379</v>
      </c>
    </row>
    <row r="85" spans="1:11" x14ac:dyDescent="0.25">
      <c r="A85">
        <f>AxisValue(A83,5)</f>
        <v>9</v>
      </c>
      <c r="B85">
        <f>AxisValue(B83,5)</f>
        <v>-3.5</v>
      </c>
      <c r="C85">
        <f>AxisValue(C83,5)</f>
        <v>-1</v>
      </c>
      <c r="D85">
        <f ca="1">SQRT(INDIRECT("RC[-3]",0)^2 + INDIRECT("RC[-2]",0)^2 + INDIRECT("RC[-1]",0)^2)</f>
        <v>9.7082439194737997</v>
      </c>
      <c r="E85">
        <f ca="1">SQRT((INDIRECT("R[-1]C[-4]",0) - INDIRECT("RC[-4]",0))^2 + (INDIRECT("R[-1]C[-3]",0) - INDIRECT("RC[-3]",0))^2 + (INDIRECT("R[-1]C[-2]",0) - INDIRECT("RC[-2]",0))^2)</f>
        <v>13.668577102244402</v>
      </c>
      <c r="F85">
        <f t="shared" ref="F85:H88" ca="1" si="20">SQRT((INDIRECT("R[-1]C[-5]",0) - INDIRECT("RC[-5]",0))^2)</f>
        <v>7.5</v>
      </c>
      <c r="G85">
        <f t="shared" ca="1" si="20"/>
        <v>11.3</v>
      </c>
      <c r="H85">
        <f t="shared" ca="1" si="20"/>
        <v>1.7000000000000002</v>
      </c>
      <c r="I85">
        <f ca="1">SQRT((INDIRECT("R[-1]C[-8]",0) - INDIRECT("RC[-8]",0))^2 + (INDIRECT("R[-1]C[-7]",0) - INDIRECT("RC[-7]",0))^2)</f>
        <v>13.56244815658294</v>
      </c>
      <c r="J85">
        <f ca="1">SQRT((INDIRECT("R[-1]C[-9]",0) - INDIRECT("RC[-9]",0))^2 + (INDIRECT("R[-1]C[-7]",0) - INDIRECT("RC[-7]",0))^2)</f>
        <v>7.6902535718921516</v>
      </c>
      <c r="K85">
        <f ca="1">SQRT((INDIRECT("R[-1]C[-9]",0) - INDIRECT("RC[-9]",0))^2 + (INDIRECT("R[-1]C[-8]",0) - INDIRECT("RC[-8]",0))^2)</f>
        <v>11.427160627207444</v>
      </c>
    </row>
    <row r="86" spans="1:11" x14ac:dyDescent="0.25">
      <c r="A86">
        <f>AxisValue(A83,6)</f>
        <v>6.33</v>
      </c>
      <c r="B86">
        <f>AxisValue(B83,6)</f>
        <v>0.44</v>
      </c>
      <c r="C86">
        <f>AxisValue(C83,6)</f>
        <v>-3.33</v>
      </c>
      <c r="D86">
        <f ca="1">SQRT(INDIRECT("RC[-3]",0)^2 + INDIRECT("RC[-2]",0)^2 + INDIRECT("RC[-1]",0)^2)</f>
        <v>7.1659891152582702</v>
      </c>
      <c r="E86">
        <f ca="1">SQRT((INDIRECT("R[-1]C[-4]",0) - INDIRECT("RC[-4]",0))^2 + (INDIRECT("R[-1]C[-3]",0) - INDIRECT("RC[-3]",0))^2 + (INDIRECT("R[-1]C[-2]",0) - INDIRECT("RC[-2]",0))^2)</f>
        <v>5.2991886171375331</v>
      </c>
      <c r="F86">
        <f t="shared" ca="1" si="20"/>
        <v>2.67</v>
      </c>
      <c r="G86">
        <f t="shared" ca="1" si="20"/>
        <v>3.94</v>
      </c>
      <c r="H86">
        <f t="shared" ca="1" si="20"/>
        <v>2.33</v>
      </c>
      <c r="I86">
        <f ca="1">SQRT((INDIRECT("R[-1]C[-8]",0) - INDIRECT("RC[-8]",0))^2 + (INDIRECT("R[-1]C[-7]",0) - INDIRECT("RC[-7]",0))^2)</f>
        <v>4.7594642555649056</v>
      </c>
      <c r="J86">
        <f ca="1">SQRT((INDIRECT("R[-1]C[-9]",0) - INDIRECT("RC[-9]",0))^2 + (INDIRECT("R[-1]C[-7]",0) - INDIRECT("RC[-7]",0))^2)</f>
        <v>3.5436986327846784</v>
      </c>
      <c r="K86">
        <f ca="1">SQRT((INDIRECT("R[-1]C[-9]",0) - INDIRECT("RC[-9]",0))^2 + (INDIRECT("R[-1]C[-8]",0) - INDIRECT("RC[-8]",0))^2)</f>
        <v>4.5773900860643284</v>
      </c>
    </row>
    <row r="87" spans="1:11" x14ac:dyDescent="0.25">
      <c r="A87">
        <f>AxisValue(A83,7)</f>
        <v>-1.22</v>
      </c>
      <c r="B87">
        <f>AxisValue(B83,7)</f>
        <v>-3.5</v>
      </c>
      <c r="C87">
        <f>AxisValue(C83,7)</f>
        <v>2</v>
      </c>
      <c r="D87">
        <f ca="1">SQRT(INDIRECT("RC[-3]",0)^2 + INDIRECT("RC[-2]",0)^2 + INDIRECT("RC[-1]",0)^2)</f>
        <v>4.2116979948709519</v>
      </c>
      <c r="E87">
        <f ca="1">SQRT((INDIRECT("R[-1]C[-4]",0) - INDIRECT("RC[-4]",0))^2 + (INDIRECT("R[-1]C[-3]",0) - INDIRECT("RC[-3]",0))^2 + (INDIRECT("R[-1]C[-2]",0) - INDIRECT("RC[-2]",0))^2)</f>
        <v>10.04664122978421</v>
      </c>
      <c r="F87">
        <f t="shared" ca="1" si="20"/>
        <v>7.55</v>
      </c>
      <c r="G87">
        <f t="shared" ca="1" si="20"/>
        <v>3.94</v>
      </c>
      <c r="H87">
        <f t="shared" ca="1" si="20"/>
        <v>5.33</v>
      </c>
      <c r="I87">
        <f ca="1">SQRT((INDIRECT("R[-1]C[-8]",0) - INDIRECT("RC[-8]",0))^2 + (INDIRECT("R[-1]C[-7]",0) - INDIRECT("RC[-7]",0))^2)</f>
        <v>8.516225689822928</v>
      </c>
      <c r="J87">
        <f ca="1">SQRT((INDIRECT("R[-1]C[-9]",0) - INDIRECT("RC[-9]",0))^2 + (INDIRECT("R[-1]C[-7]",0) - INDIRECT("RC[-7]",0))^2)</f>
        <v>9.2418288233444361</v>
      </c>
      <c r="K87">
        <f ca="1">SQRT((INDIRECT("R[-1]C[-9]",0) - INDIRECT("RC[-9]",0))^2 + (INDIRECT("R[-1]C[-8]",0) - INDIRECT("RC[-8]",0))^2)</f>
        <v>6.6281596239076803</v>
      </c>
    </row>
    <row r="88" spans="1:11" x14ac:dyDescent="0.25">
      <c r="A88">
        <f>AxisValue(A83,8)</f>
        <v>-4.0090000000000003</v>
      </c>
      <c r="B88">
        <f>AxisValue(B83,8)</f>
        <v>0.77</v>
      </c>
      <c r="C88">
        <f>AxisValue(C83,8)</f>
        <v>-2.11</v>
      </c>
      <c r="D88">
        <f ca="1">SQRT(INDIRECT("RC[-3]",0)^2 + INDIRECT("RC[-2]",0)^2 + INDIRECT("RC[-1]",0)^2)</f>
        <v>4.5953325233327789</v>
      </c>
      <c r="E88">
        <f ca="1">SQRT((INDIRECT("R[-1]C[-4]",0) - INDIRECT("RC[-4]",0))^2 + (INDIRECT("R[-1]C[-3]",0) - INDIRECT("RC[-3]",0))^2 + (INDIRECT("R[-1]C[-2]",0) - INDIRECT("RC[-2]",0))^2)</f>
        <v>6.5500779384676022</v>
      </c>
      <c r="F88">
        <f t="shared" ca="1" si="20"/>
        <v>2.7890000000000006</v>
      </c>
      <c r="G88">
        <f t="shared" ca="1" si="20"/>
        <v>4.2699999999999996</v>
      </c>
      <c r="H88">
        <f t="shared" ca="1" si="20"/>
        <v>4.1099999999999994</v>
      </c>
      <c r="I88">
        <f ca="1">SQRT((INDIRECT("R[-1]C[-8]",0) - INDIRECT("RC[-8]",0))^2 + (INDIRECT("R[-1]C[-7]",0) - INDIRECT("RC[-7]",0))^2)</f>
        <v>5.1001393118227663</v>
      </c>
      <c r="J88">
        <f ca="1">SQRT((INDIRECT("R[-1]C[-9]",0) - INDIRECT("RC[-9]",0))^2 + (INDIRECT("R[-1]C[-7]",0) - INDIRECT("RC[-7]",0))^2)</f>
        <v>4.9669528888444265</v>
      </c>
      <c r="K88">
        <f ca="1">SQRT((INDIRECT("R[-1]C[-9]",0) - INDIRECT("RC[-9]",0))^2 + (INDIRECT("R[-1]C[-8]",0) - INDIRECT("RC[-8]",0))^2)</f>
        <v>5.9266347955648486</v>
      </c>
    </row>
    <row r="89" spans="1:11" x14ac:dyDescent="0.25">
      <c r="D89" t="s">
        <v>4</v>
      </c>
      <c r="E89">
        <f t="shared" ref="E89:K89" ca="1" si="21">(INDIRECT("R[-1]C",0) + INDIRECT("R[-2]C",0) + INDIRECT("R[-3]C",0) + INDIRECT("R[-4]C",0))</f>
        <v>35.564484887633753</v>
      </c>
      <c r="F89">
        <f t="shared" ca="1" si="21"/>
        <v>20.509</v>
      </c>
      <c r="G89">
        <f t="shared" ca="1" si="21"/>
        <v>23.45</v>
      </c>
      <c r="H89">
        <f t="shared" ca="1" si="21"/>
        <v>13.469999999999999</v>
      </c>
      <c r="I89">
        <f t="shared" ca="1" si="21"/>
        <v>31.938277413793536</v>
      </c>
      <c r="J89">
        <f t="shared" ca="1" si="21"/>
        <v>25.442733916865691</v>
      </c>
      <c r="K89">
        <f t="shared" ca="1" si="21"/>
        <v>28.559345132744298</v>
      </c>
    </row>
    <row r="90" spans="1:11" x14ac:dyDescent="0.25">
      <c r="A90" t="s">
        <v>18</v>
      </c>
    </row>
    <row r="91" spans="1:11" x14ac:dyDescent="0.25">
      <c r="A91" s="1" t="s">
        <v>21</v>
      </c>
      <c r="B91" s="1" t="s">
        <v>24</v>
      </c>
      <c r="C91" s="1" t="s">
        <v>22</v>
      </c>
      <c r="D91" t="s">
        <v>10</v>
      </c>
      <c r="E91" t="s">
        <v>14</v>
      </c>
      <c r="F91" t="s">
        <v>13</v>
      </c>
      <c r="G91" t="s">
        <v>12</v>
      </c>
      <c r="H91" t="s">
        <v>11</v>
      </c>
      <c r="I91" t="s">
        <v>15</v>
      </c>
      <c r="J91" t="s">
        <v>16</v>
      </c>
      <c r="K91" t="s">
        <v>17</v>
      </c>
    </row>
    <row r="92" spans="1:11" x14ac:dyDescent="0.25">
      <c r="A92">
        <f>AxisValue(A91,4)</f>
        <v>1.5</v>
      </c>
      <c r="B92">
        <f>AxisValue(B91,4)</f>
        <v>-7.8</v>
      </c>
      <c r="C92">
        <f>AxisValue(C91,4)</f>
        <v>2.7</v>
      </c>
      <c r="D92">
        <f ca="1">SQRT(INDIRECT("RC[-3]",0)^2 + INDIRECT("RC[-2]",0)^2 + INDIRECT("RC[-1]",0)^2)</f>
        <v>8.3892788724657379</v>
      </c>
    </row>
    <row r="93" spans="1:11" x14ac:dyDescent="0.25">
      <c r="A93">
        <f>AxisValue(A91,5)</f>
        <v>9</v>
      </c>
      <c r="B93">
        <f>AxisValue(B91,5)</f>
        <v>3.5</v>
      </c>
      <c r="C93">
        <f>AxisValue(C91,5)</f>
        <v>1</v>
      </c>
      <c r="D93">
        <f ca="1">SQRT(INDIRECT("RC[-3]",0)^2 + INDIRECT("RC[-2]",0)^2 + INDIRECT("RC[-1]",0)^2)</f>
        <v>9.7082439194737997</v>
      </c>
      <c r="E93">
        <f ca="1">SQRT((INDIRECT("R[-1]C[-4]",0) - INDIRECT("RC[-4]",0))^2 + (INDIRECT("R[-1]C[-3]",0) - INDIRECT("RC[-3]",0))^2 + (INDIRECT("R[-1]C[-2]",0) - INDIRECT("RC[-2]",0))^2)</f>
        <v>13.668577102244402</v>
      </c>
      <c r="F93">
        <f t="shared" ref="F93:H96" ca="1" si="22">SQRT((INDIRECT("R[-1]C[-5]",0) - INDIRECT("RC[-5]",0))^2)</f>
        <v>7.5</v>
      </c>
      <c r="G93">
        <f t="shared" ca="1" si="22"/>
        <v>11.3</v>
      </c>
      <c r="H93">
        <f t="shared" ca="1" si="22"/>
        <v>1.7000000000000002</v>
      </c>
      <c r="I93">
        <f ca="1">SQRT((INDIRECT("R[-1]C[-8]",0) - INDIRECT("RC[-8]",0))^2 + (INDIRECT("R[-1]C[-7]",0) - INDIRECT("RC[-7]",0))^2)</f>
        <v>13.56244815658294</v>
      </c>
      <c r="J93">
        <f ca="1">SQRT((INDIRECT("R[-1]C[-9]",0) - INDIRECT("RC[-9]",0))^2 + (INDIRECT("R[-1]C[-7]",0) - INDIRECT("RC[-7]",0))^2)</f>
        <v>7.6902535718921516</v>
      </c>
      <c r="K93">
        <f ca="1">SQRT((INDIRECT("R[-1]C[-9]",0) - INDIRECT("RC[-9]",0))^2 + (INDIRECT("R[-1]C[-8]",0) - INDIRECT("RC[-8]",0))^2)</f>
        <v>11.427160627207444</v>
      </c>
    </row>
    <row r="94" spans="1:11" x14ac:dyDescent="0.25">
      <c r="A94">
        <f>AxisValue(A91,6)</f>
        <v>6.33</v>
      </c>
      <c r="B94">
        <f>AxisValue(B91,6)</f>
        <v>-0.44</v>
      </c>
      <c r="C94">
        <f>AxisValue(C91,6)</f>
        <v>3.33</v>
      </c>
      <c r="D94">
        <f ca="1">SQRT(INDIRECT("RC[-3]",0)^2 + INDIRECT("RC[-2]",0)^2 + INDIRECT("RC[-1]",0)^2)</f>
        <v>7.1659891152582702</v>
      </c>
      <c r="E94">
        <f ca="1">SQRT((INDIRECT("R[-1]C[-4]",0) - INDIRECT("RC[-4]",0))^2 + (INDIRECT("R[-1]C[-3]",0) - INDIRECT("RC[-3]",0))^2 + (INDIRECT("R[-1]C[-2]",0) - INDIRECT("RC[-2]",0))^2)</f>
        <v>5.2991886171375331</v>
      </c>
      <c r="F94">
        <f t="shared" ca="1" si="22"/>
        <v>2.67</v>
      </c>
      <c r="G94">
        <f t="shared" ca="1" si="22"/>
        <v>3.94</v>
      </c>
      <c r="H94">
        <f t="shared" ca="1" si="22"/>
        <v>2.33</v>
      </c>
      <c r="I94">
        <f ca="1">SQRT((INDIRECT("R[-1]C[-8]",0) - INDIRECT("RC[-8]",0))^2 + (INDIRECT("R[-1]C[-7]",0) - INDIRECT("RC[-7]",0))^2)</f>
        <v>4.7594642555649056</v>
      </c>
      <c r="J94">
        <f ca="1">SQRT((INDIRECT("R[-1]C[-9]",0) - INDIRECT("RC[-9]",0))^2 + (INDIRECT("R[-1]C[-7]",0) - INDIRECT("RC[-7]",0))^2)</f>
        <v>3.5436986327846784</v>
      </c>
      <c r="K94">
        <f ca="1">SQRT((INDIRECT("R[-1]C[-9]",0) - INDIRECT("RC[-9]",0))^2 + (INDIRECT("R[-1]C[-8]",0) - INDIRECT("RC[-8]",0))^2)</f>
        <v>4.5773900860643284</v>
      </c>
    </row>
    <row r="95" spans="1:11" x14ac:dyDescent="0.25">
      <c r="A95">
        <f>AxisValue(A91,7)</f>
        <v>-1.22</v>
      </c>
      <c r="B95">
        <f>AxisValue(B91,7)</f>
        <v>3.5</v>
      </c>
      <c r="C95">
        <f>AxisValue(C91,7)</f>
        <v>-2</v>
      </c>
      <c r="D95">
        <f ca="1">SQRT(INDIRECT("RC[-3]",0)^2 + INDIRECT("RC[-2]",0)^2 + INDIRECT("RC[-1]",0)^2)</f>
        <v>4.2116979948709519</v>
      </c>
      <c r="E95">
        <f ca="1">SQRT((INDIRECT("R[-1]C[-4]",0) - INDIRECT("RC[-4]",0))^2 + (INDIRECT("R[-1]C[-3]",0) - INDIRECT("RC[-3]",0))^2 + (INDIRECT("R[-1]C[-2]",0) - INDIRECT("RC[-2]",0))^2)</f>
        <v>10.04664122978421</v>
      </c>
      <c r="F95">
        <f t="shared" ca="1" si="22"/>
        <v>7.55</v>
      </c>
      <c r="G95">
        <f t="shared" ca="1" si="22"/>
        <v>3.94</v>
      </c>
      <c r="H95">
        <f t="shared" ca="1" si="22"/>
        <v>5.33</v>
      </c>
      <c r="I95">
        <f ca="1">SQRT((INDIRECT("R[-1]C[-8]",0) - INDIRECT("RC[-8]",0))^2 + (INDIRECT("R[-1]C[-7]",0) - INDIRECT("RC[-7]",0))^2)</f>
        <v>8.516225689822928</v>
      </c>
      <c r="J95">
        <f ca="1">SQRT((INDIRECT("R[-1]C[-9]",0) - INDIRECT("RC[-9]",0))^2 + (INDIRECT("R[-1]C[-7]",0) - INDIRECT("RC[-7]",0))^2)</f>
        <v>9.2418288233444361</v>
      </c>
      <c r="K95">
        <f ca="1">SQRT((INDIRECT("R[-1]C[-9]",0) - INDIRECT("RC[-9]",0))^2 + (INDIRECT("R[-1]C[-8]",0) - INDIRECT("RC[-8]",0))^2)</f>
        <v>6.6281596239076803</v>
      </c>
    </row>
    <row r="96" spans="1:11" x14ac:dyDescent="0.25">
      <c r="A96">
        <f>AxisValue(A91,8)</f>
        <v>-4.0090000000000003</v>
      </c>
      <c r="B96">
        <f>AxisValue(B91,8)</f>
        <v>-0.77</v>
      </c>
      <c r="C96">
        <f>AxisValue(C91,8)</f>
        <v>2.11</v>
      </c>
      <c r="D96">
        <f ca="1">SQRT(INDIRECT("RC[-3]",0)^2 + INDIRECT("RC[-2]",0)^2 + INDIRECT("RC[-1]",0)^2)</f>
        <v>4.5953325233327789</v>
      </c>
      <c r="E96">
        <f ca="1">SQRT((INDIRECT("R[-1]C[-4]",0) - INDIRECT("RC[-4]",0))^2 + (INDIRECT("R[-1]C[-3]",0) - INDIRECT("RC[-3]",0))^2 + (INDIRECT("R[-1]C[-2]",0) - INDIRECT("RC[-2]",0))^2)</f>
        <v>6.5500779384676022</v>
      </c>
      <c r="F96">
        <f t="shared" ca="1" si="22"/>
        <v>2.7890000000000006</v>
      </c>
      <c r="G96">
        <f t="shared" ca="1" si="22"/>
        <v>4.2699999999999996</v>
      </c>
      <c r="H96">
        <f t="shared" ca="1" si="22"/>
        <v>4.1099999999999994</v>
      </c>
      <c r="I96">
        <f ca="1">SQRT((INDIRECT("R[-1]C[-8]",0) - INDIRECT("RC[-8]",0))^2 + (INDIRECT("R[-1]C[-7]",0) - INDIRECT("RC[-7]",0))^2)</f>
        <v>5.1001393118227663</v>
      </c>
      <c r="J96">
        <f ca="1">SQRT((INDIRECT("R[-1]C[-9]",0) - INDIRECT("RC[-9]",0))^2 + (INDIRECT("R[-1]C[-7]",0) - INDIRECT("RC[-7]",0))^2)</f>
        <v>4.9669528888444265</v>
      </c>
      <c r="K96">
        <f ca="1">SQRT((INDIRECT("R[-1]C[-9]",0) - INDIRECT("RC[-9]",0))^2 + (INDIRECT("R[-1]C[-8]",0) - INDIRECT("RC[-8]",0))^2)</f>
        <v>5.9266347955648486</v>
      </c>
    </row>
    <row r="97" spans="1:11" x14ac:dyDescent="0.25">
      <c r="D97" t="s">
        <v>4</v>
      </c>
      <c r="E97">
        <f t="shared" ref="E97:K97" ca="1" si="23">(INDIRECT("R[-1]C",0) + INDIRECT("R[-2]C",0) + INDIRECT("R[-3]C",0) + INDIRECT("R[-4]C",0))</f>
        <v>35.564484887633753</v>
      </c>
      <c r="F97">
        <f t="shared" ca="1" si="23"/>
        <v>20.509</v>
      </c>
      <c r="G97">
        <f t="shared" ca="1" si="23"/>
        <v>23.45</v>
      </c>
      <c r="H97">
        <f t="shared" ca="1" si="23"/>
        <v>13.469999999999999</v>
      </c>
      <c r="I97">
        <f t="shared" ca="1" si="23"/>
        <v>31.938277413793536</v>
      </c>
      <c r="J97">
        <f t="shared" ca="1" si="23"/>
        <v>25.442733916865691</v>
      </c>
      <c r="K97">
        <f t="shared" ca="1" si="23"/>
        <v>28.559345132744298</v>
      </c>
    </row>
    <row r="98" spans="1:11" x14ac:dyDescent="0.25">
      <c r="A98" t="s">
        <v>18</v>
      </c>
    </row>
    <row r="99" spans="1:11" x14ac:dyDescent="0.25">
      <c r="A99" s="1" t="s">
        <v>21</v>
      </c>
      <c r="B99" s="1" t="s">
        <v>24</v>
      </c>
      <c r="C99" s="1" t="s">
        <v>25</v>
      </c>
      <c r="D99" t="s">
        <v>10</v>
      </c>
      <c r="E99" t="s">
        <v>14</v>
      </c>
      <c r="F99" t="s">
        <v>13</v>
      </c>
      <c r="G99" t="s">
        <v>12</v>
      </c>
      <c r="H99" t="s">
        <v>11</v>
      </c>
      <c r="I99" t="s">
        <v>15</v>
      </c>
      <c r="J99" t="s">
        <v>16</v>
      </c>
      <c r="K99" t="s">
        <v>17</v>
      </c>
    </row>
    <row r="100" spans="1:11" x14ac:dyDescent="0.25">
      <c r="A100">
        <f>AxisValue(A99,4)</f>
        <v>1.5</v>
      </c>
      <c r="B100">
        <f>AxisValue(B99,4)</f>
        <v>-7.8</v>
      </c>
      <c r="C100">
        <f>AxisValue(C99,4)</f>
        <v>-2.7</v>
      </c>
      <c r="D100">
        <f ca="1">SQRT(INDIRECT("RC[-3]",0)^2 + INDIRECT("RC[-2]",0)^2 + INDIRECT("RC[-1]",0)^2)</f>
        <v>8.3892788724657379</v>
      </c>
    </row>
    <row r="101" spans="1:11" x14ac:dyDescent="0.25">
      <c r="A101">
        <f>AxisValue(A99,5)</f>
        <v>9</v>
      </c>
      <c r="B101">
        <f>AxisValue(B99,5)</f>
        <v>3.5</v>
      </c>
      <c r="C101">
        <f>AxisValue(C99,5)</f>
        <v>-1</v>
      </c>
      <c r="D101">
        <f ca="1">SQRT(INDIRECT("RC[-3]",0)^2 + INDIRECT("RC[-2]",0)^2 + INDIRECT("RC[-1]",0)^2)</f>
        <v>9.7082439194737997</v>
      </c>
      <c r="E101">
        <f ca="1">SQRT((INDIRECT("R[-1]C[-4]",0) - INDIRECT("RC[-4]",0))^2 + (INDIRECT("R[-1]C[-3]",0) - INDIRECT("RC[-3]",0))^2 + (INDIRECT("R[-1]C[-2]",0) - INDIRECT("RC[-2]",0))^2)</f>
        <v>13.668577102244402</v>
      </c>
      <c r="F101">
        <f t="shared" ref="F101:H104" ca="1" si="24">SQRT((INDIRECT("R[-1]C[-5]",0) - INDIRECT("RC[-5]",0))^2)</f>
        <v>7.5</v>
      </c>
      <c r="G101">
        <f t="shared" ca="1" si="24"/>
        <v>11.3</v>
      </c>
      <c r="H101">
        <f t="shared" ca="1" si="24"/>
        <v>1.7000000000000002</v>
      </c>
      <c r="I101">
        <f ca="1">SQRT((INDIRECT("R[-1]C[-8]",0) - INDIRECT("RC[-8]",0))^2 + (INDIRECT("R[-1]C[-7]",0) - INDIRECT("RC[-7]",0))^2)</f>
        <v>13.56244815658294</v>
      </c>
      <c r="J101">
        <f ca="1">SQRT((INDIRECT("R[-1]C[-9]",0) - INDIRECT("RC[-9]",0))^2 + (INDIRECT("R[-1]C[-7]",0) - INDIRECT("RC[-7]",0))^2)</f>
        <v>7.6902535718921516</v>
      </c>
      <c r="K101">
        <f ca="1">SQRT((INDIRECT("R[-1]C[-9]",0) - INDIRECT("RC[-9]",0))^2 + (INDIRECT("R[-1]C[-8]",0) - INDIRECT("RC[-8]",0))^2)</f>
        <v>11.427160627207444</v>
      </c>
    </row>
    <row r="102" spans="1:11" x14ac:dyDescent="0.25">
      <c r="A102">
        <f>AxisValue(A99,6)</f>
        <v>6.33</v>
      </c>
      <c r="B102">
        <f>AxisValue(B99,6)</f>
        <v>-0.44</v>
      </c>
      <c r="C102">
        <f>AxisValue(C99,6)</f>
        <v>-3.33</v>
      </c>
      <c r="D102">
        <f ca="1">SQRT(INDIRECT("RC[-3]",0)^2 + INDIRECT("RC[-2]",0)^2 + INDIRECT("RC[-1]",0)^2)</f>
        <v>7.1659891152582702</v>
      </c>
      <c r="E102">
        <f ca="1">SQRT((INDIRECT("R[-1]C[-4]",0) - INDIRECT("RC[-4]",0))^2 + (INDIRECT("R[-1]C[-3]",0) - INDIRECT("RC[-3]",0))^2 + (INDIRECT("R[-1]C[-2]",0) - INDIRECT("RC[-2]",0))^2)</f>
        <v>5.2991886171375331</v>
      </c>
      <c r="F102">
        <f t="shared" ca="1" si="24"/>
        <v>2.67</v>
      </c>
      <c r="G102">
        <f t="shared" ca="1" si="24"/>
        <v>3.94</v>
      </c>
      <c r="H102">
        <f t="shared" ca="1" si="24"/>
        <v>2.33</v>
      </c>
      <c r="I102">
        <f ca="1">SQRT((INDIRECT("R[-1]C[-8]",0) - INDIRECT("RC[-8]",0))^2 + (INDIRECT("R[-1]C[-7]",0) - INDIRECT("RC[-7]",0))^2)</f>
        <v>4.7594642555649056</v>
      </c>
      <c r="J102">
        <f ca="1">SQRT((INDIRECT("R[-1]C[-9]",0) - INDIRECT("RC[-9]",0))^2 + (INDIRECT("R[-1]C[-7]",0) - INDIRECT("RC[-7]",0))^2)</f>
        <v>3.5436986327846784</v>
      </c>
      <c r="K102">
        <f ca="1">SQRT((INDIRECT("R[-1]C[-9]",0) - INDIRECT("RC[-9]",0))^2 + (INDIRECT("R[-1]C[-8]",0) - INDIRECT("RC[-8]",0))^2)</f>
        <v>4.5773900860643284</v>
      </c>
    </row>
    <row r="103" spans="1:11" x14ac:dyDescent="0.25">
      <c r="A103">
        <f>AxisValue(A99,7)</f>
        <v>-1.22</v>
      </c>
      <c r="B103">
        <f>AxisValue(B99,7)</f>
        <v>3.5</v>
      </c>
      <c r="C103">
        <f>AxisValue(C99,7)</f>
        <v>2</v>
      </c>
      <c r="D103">
        <f ca="1">SQRT(INDIRECT("RC[-3]",0)^2 + INDIRECT("RC[-2]",0)^2 + INDIRECT("RC[-1]",0)^2)</f>
        <v>4.2116979948709519</v>
      </c>
      <c r="E103">
        <f ca="1">SQRT((INDIRECT("R[-1]C[-4]",0) - INDIRECT("RC[-4]",0))^2 + (INDIRECT("R[-1]C[-3]",0) - INDIRECT("RC[-3]",0))^2 + (INDIRECT("R[-1]C[-2]",0) - INDIRECT("RC[-2]",0))^2)</f>
        <v>10.04664122978421</v>
      </c>
      <c r="F103">
        <f t="shared" ca="1" si="24"/>
        <v>7.55</v>
      </c>
      <c r="G103">
        <f t="shared" ca="1" si="24"/>
        <v>3.94</v>
      </c>
      <c r="H103">
        <f t="shared" ca="1" si="24"/>
        <v>5.33</v>
      </c>
      <c r="I103">
        <f ca="1">SQRT((INDIRECT("R[-1]C[-8]",0) - INDIRECT("RC[-8]",0))^2 + (INDIRECT("R[-1]C[-7]",0) - INDIRECT("RC[-7]",0))^2)</f>
        <v>8.516225689822928</v>
      </c>
      <c r="J103">
        <f ca="1">SQRT((INDIRECT("R[-1]C[-9]",0) - INDIRECT("RC[-9]",0))^2 + (INDIRECT("R[-1]C[-7]",0) - INDIRECT("RC[-7]",0))^2)</f>
        <v>9.2418288233444361</v>
      </c>
      <c r="K103">
        <f ca="1">SQRT((INDIRECT("R[-1]C[-9]",0) - INDIRECT("RC[-9]",0))^2 + (INDIRECT("R[-1]C[-8]",0) - INDIRECT("RC[-8]",0))^2)</f>
        <v>6.6281596239076803</v>
      </c>
    </row>
    <row r="104" spans="1:11" x14ac:dyDescent="0.25">
      <c r="A104">
        <f>AxisValue(A99,8)</f>
        <v>-4.0090000000000003</v>
      </c>
      <c r="B104">
        <f>AxisValue(B99,8)</f>
        <v>-0.77</v>
      </c>
      <c r="C104">
        <f>AxisValue(C99,8)</f>
        <v>-2.11</v>
      </c>
      <c r="D104">
        <f ca="1">SQRT(INDIRECT("RC[-3]",0)^2 + INDIRECT("RC[-2]",0)^2 + INDIRECT("RC[-1]",0)^2)</f>
        <v>4.5953325233327789</v>
      </c>
      <c r="E104">
        <f ca="1">SQRT((INDIRECT("R[-1]C[-4]",0) - INDIRECT("RC[-4]",0))^2 + (INDIRECT("R[-1]C[-3]",0) - INDIRECT("RC[-3]",0))^2 + (INDIRECT("R[-1]C[-2]",0) - INDIRECT("RC[-2]",0))^2)</f>
        <v>6.5500779384676022</v>
      </c>
      <c r="F104">
        <f t="shared" ca="1" si="24"/>
        <v>2.7890000000000006</v>
      </c>
      <c r="G104">
        <f t="shared" ca="1" si="24"/>
        <v>4.2699999999999996</v>
      </c>
      <c r="H104">
        <f t="shared" ca="1" si="24"/>
        <v>4.1099999999999994</v>
      </c>
      <c r="I104">
        <f ca="1">SQRT((INDIRECT("R[-1]C[-8]",0) - INDIRECT("RC[-8]",0))^2 + (INDIRECT("R[-1]C[-7]",0) - INDIRECT("RC[-7]",0))^2)</f>
        <v>5.1001393118227663</v>
      </c>
      <c r="J104">
        <f ca="1">SQRT((INDIRECT("R[-1]C[-9]",0) - INDIRECT("RC[-9]",0))^2 + (INDIRECT("R[-1]C[-7]",0) - INDIRECT("RC[-7]",0))^2)</f>
        <v>4.9669528888444265</v>
      </c>
      <c r="K104">
        <f ca="1">SQRT((INDIRECT("R[-1]C[-9]",0) - INDIRECT("RC[-9]",0))^2 + (INDIRECT("R[-1]C[-8]",0) - INDIRECT("RC[-8]",0))^2)</f>
        <v>5.9266347955648486</v>
      </c>
    </row>
    <row r="105" spans="1:11" x14ac:dyDescent="0.25">
      <c r="D105" t="s">
        <v>4</v>
      </c>
      <c r="E105">
        <f t="shared" ref="E105:K105" ca="1" si="25">(INDIRECT("R[-1]C",0) + INDIRECT("R[-2]C",0) + INDIRECT("R[-3]C",0) + INDIRECT("R[-4]C",0))</f>
        <v>35.564484887633753</v>
      </c>
      <c r="F105">
        <f t="shared" ca="1" si="25"/>
        <v>20.509</v>
      </c>
      <c r="G105">
        <f t="shared" ca="1" si="25"/>
        <v>23.45</v>
      </c>
      <c r="H105">
        <f t="shared" ca="1" si="25"/>
        <v>13.469999999999999</v>
      </c>
      <c r="I105">
        <f t="shared" ca="1" si="25"/>
        <v>31.938277413793536</v>
      </c>
      <c r="J105">
        <f t="shared" ca="1" si="25"/>
        <v>25.442733916865691</v>
      </c>
      <c r="K105">
        <f t="shared" ca="1" si="25"/>
        <v>28.559345132744298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105"/>
  <sheetViews>
    <sheetView showFormulas="1" zoomScale="85" zoomScaleNormal="85" workbookViewId="0">
      <selection activeCell="A10" sqref="A10:K17"/>
    </sheetView>
  </sheetViews>
  <sheetFormatPr defaultRowHeight="15" x14ac:dyDescent="0.25"/>
  <cols>
    <col min="4" max="11" width="13.7109375" customWidth="1"/>
  </cols>
  <sheetData>
    <row r="2" spans="1:11" x14ac:dyDescent="0.25">
      <c r="A2" t="s">
        <v>19</v>
      </c>
      <c r="B2" t="s">
        <v>20</v>
      </c>
    </row>
    <row r="3" spans="1:11" x14ac:dyDescent="0.25">
      <c r="A3" t="s">
        <v>0</v>
      </c>
      <c r="B3" t="s">
        <v>1</v>
      </c>
      <c r="C3" t="s">
        <v>2</v>
      </c>
      <c r="D3" t="s">
        <v>10</v>
      </c>
      <c r="E3" t="s">
        <v>14</v>
      </c>
      <c r="F3" t="s">
        <v>13</v>
      </c>
      <c r="G3" t="s">
        <v>12</v>
      </c>
      <c r="H3" t="s">
        <v>11</v>
      </c>
      <c r="I3" t="s">
        <v>15</v>
      </c>
      <c r="J3" t="s">
        <v>16</v>
      </c>
      <c r="K3" t="s">
        <v>17</v>
      </c>
    </row>
    <row r="4" spans="1:11" x14ac:dyDescent="0.25">
      <c r="A4">
        <v>0</v>
      </c>
      <c r="B4">
        <v>0</v>
      </c>
      <c r="C4">
        <v>0</v>
      </c>
    </row>
    <row r="5" spans="1:11" x14ac:dyDescent="0.25">
      <c r="A5">
        <v>-1</v>
      </c>
      <c r="B5">
        <v>-1</v>
      </c>
      <c r="C5">
        <v>-1</v>
      </c>
      <c r="E5">
        <f ca="1">SQRT((INDIRECT("R[-1]C[-4]",0) - INDIRECT("RC[-4]",0))^2 + (INDIRECT("R[-1]C[-3]",0) - INDIRECT("RC[-3]",0))^2 + (INDIRECT("R[-1]C[-2]",0) - INDIRECT("RC[-2]",0))^2)</f>
        <v>1.7320508075688772</v>
      </c>
      <c r="F5">
        <f t="shared" ref="F5:H8" ca="1" si="0">SQRT((INDIRECT("R[-1]C[-5]",0) - INDIRECT("RC[-5]",0))^2)</f>
        <v>1</v>
      </c>
      <c r="G5">
        <f t="shared" ca="1" si="0"/>
        <v>1</v>
      </c>
      <c r="H5">
        <f t="shared" ca="1" si="0"/>
        <v>1</v>
      </c>
      <c r="I5">
        <f ca="1">SQRT((INDIRECT("R[-1]C[-8]",0) - INDIRECT("RC[-8]",0))^2 + (INDIRECT("R[-1]C[-7]",0) - INDIRECT("RC[-7]",0))^2)</f>
        <v>1.4142135623730951</v>
      </c>
      <c r="J5">
        <f ca="1">SQRT((INDIRECT("R[-1]C[-9]",0) - INDIRECT("RC[-9]",0))^2 + (INDIRECT("R[-1]C[-7]",0) - INDIRECT("RC[-7]",0))^2)</f>
        <v>1.4142135623730951</v>
      </c>
      <c r="K5">
        <f ca="1">SQRT((INDIRECT("R[-1]C[-9]",0) - INDIRECT("RC[-9]",0))^2 + (INDIRECT("R[-1]C[-8]",0) - INDIRECT("RC[-8]",0))^2)</f>
        <v>1.4142135623730951</v>
      </c>
    </row>
    <row r="6" spans="1:11" x14ac:dyDescent="0.25">
      <c r="A6">
        <v>-2</v>
      </c>
      <c r="B6">
        <v>-2</v>
      </c>
      <c r="C6">
        <v>-2</v>
      </c>
      <c r="E6">
        <f ca="1">SQRT((INDIRECT("R[-1]C[-4]",0) - INDIRECT("RC[-4]",0))^2 + (INDIRECT("R[-1]C[-3]",0) - INDIRECT("RC[-3]",0))^2 + (INDIRECT("R[-1]C[-2]",0) - INDIRECT("RC[-2]",0))^2)</f>
        <v>1.7320508075688772</v>
      </c>
      <c r="F6">
        <f t="shared" ca="1" si="0"/>
        <v>1</v>
      </c>
      <c r="G6">
        <f t="shared" ca="1" si="0"/>
        <v>1</v>
      </c>
      <c r="H6">
        <f t="shared" ca="1" si="0"/>
        <v>1</v>
      </c>
      <c r="I6">
        <f ca="1">SQRT((INDIRECT("R[-1]C[-8]",0) - INDIRECT("RC[-8]",0))^2 + (INDIRECT("R[-1]C[-7]",0) - INDIRECT("RC[-7]",0))^2)</f>
        <v>1.4142135623730951</v>
      </c>
      <c r="J6">
        <f ca="1">SQRT((INDIRECT("R[-1]C[-9]",0) - INDIRECT("RC[-9]",0))^2 + (INDIRECT("R[-1]C[-7]",0) - INDIRECT("RC[-7]",0))^2)</f>
        <v>1.4142135623730951</v>
      </c>
      <c r="K6">
        <f ca="1">SQRT((INDIRECT("R[-1]C[-9]",0) - INDIRECT("RC[-9]",0))^2 + (INDIRECT("R[-1]C[-8]",0) - INDIRECT("RC[-8]",0))^2)</f>
        <v>1.4142135623730951</v>
      </c>
    </row>
    <row r="7" spans="1:11" x14ac:dyDescent="0.25">
      <c r="A7">
        <v>-3</v>
      </c>
      <c r="B7">
        <v>-3</v>
      </c>
      <c r="C7">
        <v>-3</v>
      </c>
      <c r="E7">
        <f ca="1">SQRT((INDIRECT("R[-1]C[-4]",0) - INDIRECT("RC[-4]",0))^2 + (INDIRECT("R[-1]C[-3]",0) - INDIRECT("RC[-3]",0))^2 + (INDIRECT("R[-1]C[-2]",0) - INDIRECT("RC[-2]",0))^2)</f>
        <v>1.7320508075688772</v>
      </c>
      <c r="F7">
        <f t="shared" ca="1" si="0"/>
        <v>1</v>
      </c>
      <c r="G7">
        <f t="shared" ca="1" si="0"/>
        <v>1</v>
      </c>
      <c r="H7">
        <f t="shared" ca="1" si="0"/>
        <v>1</v>
      </c>
      <c r="I7">
        <f ca="1">SQRT((INDIRECT("R[-1]C[-8]",0) - INDIRECT("RC[-8]",0))^2 + (INDIRECT("R[-1]C[-7]",0) - INDIRECT("RC[-7]",0))^2)</f>
        <v>1.4142135623730951</v>
      </c>
      <c r="J7">
        <f ca="1">SQRT((INDIRECT("R[-1]C[-9]",0) - INDIRECT("RC[-9]",0))^2 + (INDIRECT("R[-1]C[-7]",0) - INDIRECT("RC[-7]",0))^2)</f>
        <v>1.4142135623730951</v>
      </c>
      <c r="K7">
        <f ca="1">SQRT((INDIRECT("R[-1]C[-9]",0) - INDIRECT("RC[-9]",0))^2 + (INDIRECT("R[-1]C[-8]",0) - INDIRECT("RC[-8]",0))^2)</f>
        <v>1.4142135623730951</v>
      </c>
    </row>
    <row r="8" spans="1:11" x14ac:dyDescent="0.25">
      <c r="A8">
        <v>-4</v>
      </c>
      <c r="B8">
        <v>-4</v>
      </c>
      <c r="C8">
        <v>-4</v>
      </c>
      <c r="E8">
        <f ca="1">SQRT((INDIRECT("R[-1]C[-4]",0) - INDIRECT("RC[-4]",0))^2 + (INDIRECT("R[-1]C[-3]",0) - INDIRECT("RC[-3]",0))^2 + (INDIRECT("R[-1]C[-2]",0) - INDIRECT("RC[-2]",0))^2)</f>
        <v>1.7320508075688772</v>
      </c>
      <c r="F8">
        <f t="shared" ca="1" si="0"/>
        <v>1</v>
      </c>
      <c r="G8">
        <f t="shared" ca="1" si="0"/>
        <v>1</v>
      </c>
      <c r="H8">
        <f t="shared" ca="1" si="0"/>
        <v>1</v>
      </c>
      <c r="I8">
        <f ca="1">SQRT((INDIRECT("R[-1]C[-8]",0) - INDIRECT("RC[-8]",0))^2 + (INDIRECT("R[-1]C[-7]",0) - INDIRECT("RC[-7]",0))^2)</f>
        <v>1.4142135623730951</v>
      </c>
      <c r="J8">
        <f ca="1">SQRT((INDIRECT("R[-1]C[-9]",0) - INDIRECT("RC[-9]",0))^2 + (INDIRECT("R[-1]C[-7]",0) - INDIRECT("RC[-7]",0))^2)</f>
        <v>1.4142135623730951</v>
      </c>
      <c r="K8">
        <f ca="1">SQRT((INDIRECT("R[-1]C[-9]",0) - INDIRECT("RC[-9]",0))^2 + (INDIRECT("R[-1]C[-8]",0) - INDIRECT("RC[-8]",0))^2)</f>
        <v>1.4142135623730951</v>
      </c>
    </row>
    <row r="9" spans="1:11" x14ac:dyDescent="0.25">
      <c r="D9" t="s">
        <v>4</v>
      </c>
      <c r="E9">
        <f t="shared" ref="E9:K9" ca="1" si="1">(INDIRECT("R[-1]C",0) + INDIRECT("R[-2]C",0) + INDIRECT("R[-3]C",0) + INDIRECT("R[-4]C",0))</f>
        <v>6.9282032302755088</v>
      </c>
      <c r="F9">
        <f t="shared" ca="1" si="1"/>
        <v>4</v>
      </c>
      <c r="G9">
        <f t="shared" ca="1" si="1"/>
        <v>4</v>
      </c>
      <c r="H9">
        <f t="shared" ca="1" si="1"/>
        <v>4</v>
      </c>
      <c r="I9">
        <f t="shared" ca="1" si="1"/>
        <v>5.6568542494923806</v>
      </c>
      <c r="J9">
        <f t="shared" ca="1" si="1"/>
        <v>5.6568542494923806</v>
      </c>
      <c r="K9">
        <f t="shared" ca="1" si="1"/>
        <v>5.6568542494923806</v>
      </c>
    </row>
    <row r="10" spans="1:11" x14ac:dyDescent="0.25">
      <c r="A10" t="s">
        <v>18</v>
      </c>
    </row>
    <row r="11" spans="1:11" x14ac:dyDescent="0.25">
      <c r="A11" s="1" t="s">
        <v>26</v>
      </c>
      <c r="B11" s="1" t="s">
        <v>22</v>
      </c>
      <c r="C11" s="1" t="s">
        <v>23</v>
      </c>
      <c r="D11" t="s">
        <v>10</v>
      </c>
      <c r="E11" t="s">
        <v>14</v>
      </c>
      <c r="F11" t="s">
        <v>13</v>
      </c>
      <c r="G11" t="s">
        <v>12</v>
      </c>
      <c r="H11" t="s">
        <v>11</v>
      </c>
      <c r="I11" t="s">
        <v>15</v>
      </c>
      <c r="J11" t="s">
        <v>16</v>
      </c>
      <c r="K11" t="s">
        <v>17</v>
      </c>
    </row>
    <row r="12" spans="1:11" x14ac:dyDescent="0.25">
      <c r="A12">
        <f>AxisValue(A11,4)</f>
        <v>-1.5</v>
      </c>
      <c r="B12">
        <f>AxisValue(B11,4)</f>
        <v>2.7</v>
      </c>
      <c r="C12">
        <f>AxisValue(C11,4)</f>
        <v>7.8</v>
      </c>
      <c r="D12">
        <f ca="1">SQRT(INDIRECT("RC[-3]",0)^2 + INDIRECT("RC[-2]",0)^2 + INDIRECT("RC[-1]",0)^2)</f>
        <v>8.3892788724657379</v>
      </c>
    </row>
    <row r="13" spans="1:11" x14ac:dyDescent="0.25">
      <c r="A13">
        <f>AxisValue(A11,5)</f>
        <v>-9</v>
      </c>
      <c r="B13">
        <f>AxisValue(B11,5)</f>
        <v>1</v>
      </c>
      <c r="C13">
        <f>AxisValue(C11,5)</f>
        <v>-3.5</v>
      </c>
      <c r="D13">
        <f ca="1">SQRT(INDIRECT("RC[-3]",0)^2 + INDIRECT("RC[-2]",0)^2 + INDIRECT("RC[-1]",0)^2)</f>
        <v>9.7082439194737997</v>
      </c>
      <c r="E13">
        <f ca="1">SQRT((INDIRECT("R[-1]C[-4]",0) - INDIRECT("RC[-4]",0))^2 + (INDIRECT("R[-1]C[-3]",0) - INDIRECT("RC[-3]",0))^2 + (INDIRECT("R[-1]C[-2]",0) - INDIRECT("RC[-2]",0))^2)</f>
        <v>13.668577102244404</v>
      </c>
      <c r="F13">
        <f t="shared" ref="F13:H16" ca="1" si="2">SQRT((INDIRECT("R[-1]C[-5]",0) - INDIRECT("RC[-5]",0))^2)</f>
        <v>7.5</v>
      </c>
      <c r="G13">
        <f t="shared" ca="1" si="2"/>
        <v>1.7000000000000002</v>
      </c>
      <c r="H13">
        <f t="shared" ca="1" si="2"/>
        <v>11.3</v>
      </c>
      <c r="I13">
        <f ca="1">SQRT((INDIRECT("R[-1]C[-8]",0) - INDIRECT("RC[-8]",0))^2 + (INDIRECT("R[-1]C[-7]",0) - INDIRECT("RC[-7]",0))^2)</f>
        <v>7.6902535718921516</v>
      </c>
      <c r="J13">
        <f ca="1">SQRT((INDIRECT("R[-1]C[-9]",0) - INDIRECT("RC[-9]",0))^2 + (INDIRECT("R[-1]C[-7]",0) - INDIRECT("RC[-7]",0))^2)</f>
        <v>13.56244815658294</v>
      </c>
      <c r="K13">
        <f ca="1">SQRT((INDIRECT("R[-1]C[-9]",0) - INDIRECT("RC[-9]",0))^2 + (INDIRECT("R[-1]C[-8]",0) - INDIRECT("RC[-8]",0))^2)</f>
        <v>11.427160627207444</v>
      </c>
    </row>
    <row r="14" spans="1:11" x14ac:dyDescent="0.25">
      <c r="A14">
        <f>AxisValue(A11,6)</f>
        <v>-6.33</v>
      </c>
      <c r="B14">
        <f>AxisValue(B11,6)</f>
        <v>3.33</v>
      </c>
      <c r="C14">
        <f>AxisValue(C11,6)</f>
        <v>0.44</v>
      </c>
      <c r="D14">
        <f ca="1">SQRT(INDIRECT("RC[-3]",0)^2 + INDIRECT("RC[-2]",0)^2 + INDIRECT("RC[-1]",0)^2)</f>
        <v>7.1659891152582693</v>
      </c>
      <c r="E14">
        <f ca="1">SQRT((INDIRECT("R[-1]C[-4]",0) - INDIRECT("RC[-4]",0))^2 + (INDIRECT("R[-1]C[-3]",0) - INDIRECT("RC[-3]",0))^2 + (INDIRECT("R[-1]C[-2]",0) - INDIRECT("RC[-2]",0))^2)</f>
        <v>5.2991886171375331</v>
      </c>
      <c r="F14">
        <f t="shared" ca="1" si="2"/>
        <v>2.67</v>
      </c>
      <c r="G14">
        <f t="shared" ca="1" si="2"/>
        <v>2.33</v>
      </c>
      <c r="H14">
        <f t="shared" ca="1" si="2"/>
        <v>3.94</v>
      </c>
      <c r="I14">
        <f ca="1">SQRT((INDIRECT("R[-1]C[-8]",0) - INDIRECT("RC[-8]",0))^2 + (INDIRECT("R[-1]C[-7]",0) - INDIRECT("RC[-7]",0))^2)</f>
        <v>3.5436986327846784</v>
      </c>
      <c r="J14">
        <f ca="1">SQRT((INDIRECT("R[-1]C[-9]",0) - INDIRECT("RC[-9]",0))^2 + (INDIRECT("R[-1]C[-7]",0) - INDIRECT("RC[-7]",0))^2)</f>
        <v>4.7594642555649056</v>
      </c>
      <c r="K14">
        <f ca="1">SQRT((INDIRECT("R[-1]C[-9]",0) - INDIRECT("RC[-9]",0))^2 + (INDIRECT("R[-1]C[-8]",0) - INDIRECT("RC[-8]",0))^2)</f>
        <v>4.5773900860643284</v>
      </c>
    </row>
    <row r="15" spans="1:11" x14ac:dyDescent="0.25">
      <c r="A15">
        <f>AxisValue(A11,7)</f>
        <v>1.22</v>
      </c>
      <c r="B15">
        <f>AxisValue(B11,7)</f>
        <v>-2</v>
      </c>
      <c r="C15">
        <f>AxisValue(C11,7)</f>
        <v>-3.5</v>
      </c>
      <c r="D15">
        <f ca="1">SQRT(INDIRECT("RC[-3]",0)^2 + INDIRECT("RC[-2]",0)^2 + INDIRECT("RC[-1]",0)^2)</f>
        <v>4.2116979948709519</v>
      </c>
      <c r="E15">
        <f ca="1">SQRT((INDIRECT("R[-1]C[-4]",0) - INDIRECT("RC[-4]",0))^2 + (INDIRECT("R[-1]C[-3]",0) - INDIRECT("RC[-3]",0))^2 + (INDIRECT("R[-1]C[-2]",0) - INDIRECT("RC[-2]",0))^2)</f>
        <v>10.04664122978421</v>
      </c>
      <c r="F15">
        <f t="shared" ca="1" si="2"/>
        <v>7.55</v>
      </c>
      <c r="G15">
        <f t="shared" ca="1" si="2"/>
        <v>5.33</v>
      </c>
      <c r="H15">
        <f t="shared" ca="1" si="2"/>
        <v>3.94</v>
      </c>
      <c r="I15">
        <f ca="1">SQRT((INDIRECT("R[-1]C[-8]",0) - INDIRECT("RC[-8]",0))^2 + (INDIRECT("R[-1]C[-7]",0) - INDIRECT("RC[-7]",0))^2)</f>
        <v>9.2418288233444361</v>
      </c>
      <c r="J15">
        <f ca="1">SQRT((INDIRECT("R[-1]C[-9]",0) - INDIRECT("RC[-9]",0))^2 + (INDIRECT("R[-1]C[-7]",0) - INDIRECT("RC[-7]",0))^2)</f>
        <v>8.516225689822928</v>
      </c>
      <c r="K15">
        <f ca="1">SQRT((INDIRECT("R[-1]C[-9]",0) - INDIRECT("RC[-9]",0))^2 + (INDIRECT("R[-1]C[-8]",0) - INDIRECT("RC[-8]",0))^2)</f>
        <v>6.6281596239076803</v>
      </c>
    </row>
    <row r="16" spans="1:11" x14ac:dyDescent="0.25">
      <c r="A16">
        <f>AxisValue(A11,8)</f>
        <v>4.0090000000000003</v>
      </c>
      <c r="B16">
        <f>AxisValue(B11,8)</f>
        <v>2.11</v>
      </c>
      <c r="C16">
        <f>AxisValue(C11,8)</f>
        <v>0.77</v>
      </c>
      <c r="D16">
        <f ca="1">SQRT(INDIRECT("RC[-3]",0)^2 + INDIRECT("RC[-2]",0)^2 + INDIRECT("RC[-1]",0)^2)</f>
        <v>4.5953325233327789</v>
      </c>
      <c r="E16">
        <f ca="1">SQRT((INDIRECT("R[-1]C[-4]",0) - INDIRECT("RC[-4]",0))^2 + (INDIRECT("R[-1]C[-3]",0) - INDIRECT("RC[-3]",0))^2 + (INDIRECT("R[-1]C[-2]",0) - INDIRECT("RC[-2]",0))^2)</f>
        <v>6.5500779384676022</v>
      </c>
      <c r="F16">
        <f t="shared" ca="1" si="2"/>
        <v>2.7890000000000006</v>
      </c>
      <c r="G16">
        <f t="shared" ca="1" si="2"/>
        <v>4.1099999999999994</v>
      </c>
      <c r="H16">
        <f t="shared" ca="1" si="2"/>
        <v>4.2699999999999996</v>
      </c>
      <c r="I16">
        <f ca="1">SQRT((INDIRECT("R[-1]C[-8]",0) - INDIRECT("RC[-8]",0))^2 + (INDIRECT("R[-1]C[-7]",0) - INDIRECT("RC[-7]",0))^2)</f>
        <v>4.9669528888444265</v>
      </c>
      <c r="J16">
        <f ca="1">SQRT((INDIRECT("R[-1]C[-9]",0) - INDIRECT("RC[-9]",0))^2 + (INDIRECT("R[-1]C[-7]",0) - INDIRECT("RC[-7]",0))^2)</f>
        <v>5.1001393118227663</v>
      </c>
      <c r="K16">
        <f ca="1">SQRT((INDIRECT("R[-1]C[-9]",0) - INDIRECT("RC[-9]",0))^2 + (INDIRECT("R[-1]C[-8]",0) - INDIRECT("RC[-8]",0))^2)</f>
        <v>5.9266347955648486</v>
      </c>
    </row>
    <row r="17" spans="1:11" x14ac:dyDescent="0.25">
      <c r="D17" t="s">
        <v>4</v>
      </c>
      <c r="E17">
        <f t="shared" ref="E17:K17" ca="1" si="3">(INDIRECT("R[-1]C",0) + INDIRECT("R[-2]C",0) + INDIRECT("R[-3]C",0) + INDIRECT("R[-4]C",0))</f>
        <v>35.564484887633753</v>
      </c>
      <c r="F17">
        <f t="shared" ca="1" si="3"/>
        <v>20.509</v>
      </c>
      <c r="G17">
        <f t="shared" ca="1" si="3"/>
        <v>13.469999999999999</v>
      </c>
      <c r="H17">
        <f t="shared" ca="1" si="3"/>
        <v>23.45</v>
      </c>
      <c r="I17">
        <f t="shared" ca="1" si="3"/>
        <v>25.442733916865691</v>
      </c>
      <c r="J17">
        <f t="shared" ca="1" si="3"/>
        <v>31.938277413793536</v>
      </c>
      <c r="K17">
        <f t="shared" ca="1" si="3"/>
        <v>28.559345132744298</v>
      </c>
    </row>
    <row r="18" spans="1:11" x14ac:dyDescent="0.25">
      <c r="A18" t="s">
        <v>18</v>
      </c>
    </row>
    <row r="19" spans="1:11" x14ac:dyDescent="0.25">
      <c r="A19" s="1" t="s">
        <v>26</v>
      </c>
      <c r="B19" s="1" t="s">
        <v>22</v>
      </c>
      <c r="C19" s="1" t="s">
        <v>24</v>
      </c>
      <c r="D19" t="s">
        <v>10</v>
      </c>
      <c r="E19" t="s">
        <v>14</v>
      </c>
      <c r="F19" t="s">
        <v>13</v>
      </c>
      <c r="G19" t="s">
        <v>12</v>
      </c>
      <c r="H19" t="s">
        <v>11</v>
      </c>
      <c r="I19" t="s">
        <v>15</v>
      </c>
      <c r="J19" t="s">
        <v>16</v>
      </c>
      <c r="K19" t="s">
        <v>17</v>
      </c>
    </row>
    <row r="20" spans="1:11" x14ac:dyDescent="0.25">
      <c r="A20">
        <f>AxisValue(A19,4)</f>
        <v>-1.5</v>
      </c>
      <c r="B20">
        <f>AxisValue(B19,4)</f>
        <v>2.7</v>
      </c>
      <c r="C20">
        <f>AxisValue(C19,4)</f>
        <v>-7.8</v>
      </c>
      <c r="D20">
        <f ca="1">SQRT(INDIRECT("RC[-3]",0)^2 + INDIRECT("RC[-2]",0)^2 + INDIRECT("RC[-1]",0)^2)</f>
        <v>8.3892788724657379</v>
      </c>
    </row>
    <row r="21" spans="1:11" x14ac:dyDescent="0.25">
      <c r="A21">
        <f>AxisValue(A19,5)</f>
        <v>-9</v>
      </c>
      <c r="B21">
        <f>AxisValue(B19,5)</f>
        <v>1</v>
      </c>
      <c r="C21">
        <f>AxisValue(C19,5)</f>
        <v>3.5</v>
      </c>
      <c r="D21">
        <f ca="1">SQRT(INDIRECT("RC[-3]",0)^2 + INDIRECT("RC[-2]",0)^2 + INDIRECT("RC[-1]",0)^2)</f>
        <v>9.7082439194737997</v>
      </c>
      <c r="E21">
        <f ca="1">SQRT((INDIRECT("R[-1]C[-4]",0) - INDIRECT("RC[-4]",0))^2 + (INDIRECT("R[-1]C[-3]",0) - INDIRECT("RC[-3]",0))^2 + (INDIRECT("R[-1]C[-2]",0) - INDIRECT("RC[-2]",0))^2)</f>
        <v>13.668577102244404</v>
      </c>
      <c r="F21">
        <f t="shared" ref="F21:H24" ca="1" si="4">SQRT((INDIRECT("R[-1]C[-5]",0) - INDIRECT("RC[-5]",0))^2)</f>
        <v>7.5</v>
      </c>
      <c r="G21">
        <f t="shared" ca="1" si="4"/>
        <v>1.7000000000000002</v>
      </c>
      <c r="H21">
        <f t="shared" ca="1" si="4"/>
        <v>11.3</v>
      </c>
      <c r="I21">
        <f ca="1">SQRT((INDIRECT("R[-1]C[-8]",0) - INDIRECT("RC[-8]",0))^2 + (INDIRECT("R[-1]C[-7]",0) - INDIRECT("RC[-7]",0))^2)</f>
        <v>7.6902535718921516</v>
      </c>
      <c r="J21">
        <f ca="1">SQRT((INDIRECT("R[-1]C[-9]",0) - INDIRECT("RC[-9]",0))^2 + (INDIRECT("R[-1]C[-7]",0) - INDIRECT("RC[-7]",0))^2)</f>
        <v>13.56244815658294</v>
      </c>
      <c r="K21">
        <f ca="1">SQRT((INDIRECT("R[-1]C[-9]",0) - INDIRECT("RC[-9]",0))^2 + (INDIRECT("R[-1]C[-8]",0) - INDIRECT("RC[-8]",0))^2)</f>
        <v>11.427160627207444</v>
      </c>
    </row>
    <row r="22" spans="1:11" x14ac:dyDescent="0.25">
      <c r="A22">
        <f>AxisValue(A19,6)</f>
        <v>-6.33</v>
      </c>
      <c r="B22">
        <f>AxisValue(B19,6)</f>
        <v>3.33</v>
      </c>
      <c r="C22">
        <f>AxisValue(C19,6)</f>
        <v>-0.44</v>
      </c>
      <c r="D22">
        <f ca="1">SQRT(INDIRECT("RC[-3]",0)^2 + INDIRECT("RC[-2]",0)^2 + INDIRECT("RC[-1]",0)^2)</f>
        <v>7.1659891152582693</v>
      </c>
      <c r="E22">
        <f ca="1">SQRT((INDIRECT("R[-1]C[-4]",0) - INDIRECT("RC[-4]",0))^2 + (INDIRECT("R[-1]C[-3]",0) - INDIRECT("RC[-3]",0))^2 + (INDIRECT("R[-1]C[-2]",0) - INDIRECT("RC[-2]",0))^2)</f>
        <v>5.2991886171375331</v>
      </c>
      <c r="F22">
        <f t="shared" ca="1" si="4"/>
        <v>2.67</v>
      </c>
      <c r="G22">
        <f t="shared" ca="1" si="4"/>
        <v>2.33</v>
      </c>
      <c r="H22">
        <f t="shared" ca="1" si="4"/>
        <v>3.94</v>
      </c>
      <c r="I22">
        <f ca="1">SQRT((INDIRECT("R[-1]C[-8]",0) - INDIRECT("RC[-8]",0))^2 + (INDIRECT("R[-1]C[-7]",0) - INDIRECT("RC[-7]",0))^2)</f>
        <v>3.5436986327846784</v>
      </c>
      <c r="J22">
        <f ca="1">SQRT((INDIRECT("R[-1]C[-9]",0) - INDIRECT("RC[-9]",0))^2 + (INDIRECT("R[-1]C[-7]",0) - INDIRECT("RC[-7]",0))^2)</f>
        <v>4.7594642555649056</v>
      </c>
      <c r="K22">
        <f ca="1">SQRT((INDIRECT("R[-1]C[-9]",0) - INDIRECT("RC[-9]",0))^2 + (INDIRECT("R[-1]C[-8]",0) - INDIRECT("RC[-8]",0))^2)</f>
        <v>4.5773900860643284</v>
      </c>
    </row>
    <row r="23" spans="1:11" x14ac:dyDescent="0.25">
      <c r="A23">
        <f>AxisValue(A19,7)</f>
        <v>1.22</v>
      </c>
      <c r="B23">
        <f>AxisValue(B19,7)</f>
        <v>-2</v>
      </c>
      <c r="C23">
        <f>AxisValue(C19,7)</f>
        <v>3.5</v>
      </c>
      <c r="D23">
        <f ca="1">SQRT(INDIRECT("RC[-3]",0)^2 + INDIRECT("RC[-2]",0)^2 + INDIRECT("RC[-1]",0)^2)</f>
        <v>4.2116979948709519</v>
      </c>
      <c r="E23">
        <f ca="1">SQRT((INDIRECT("R[-1]C[-4]",0) - INDIRECT("RC[-4]",0))^2 + (INDIRECT("R[-1]C[-3]",0) - INDIRECT("RC[-3]",0))^2 + (INDIRECT("R[-1]C[-2]",0) - INDIRECT("RC[-2]",0))^2)</f>
        <v>10.04664122978421</v>
      </c>
      <c r="F23">
        <f t="shared" ca="1" si="4"/>
        <v>7.55</v>
      </c>
      <c r="G23">
        <f t="shared" ca="1" si="4"/>
        <v>5.33</v>
      </c>
      <c r="H23">
        <f t="shared" ca="1" si="4"/>
        <v>3.94</v>
      </c>
      <c r="I23">
        <f ca="1">SQRT((INDIRECT("R[-1]C[-8]",0) - INDIRECT("RC[-8]",0))^2 + (INDIRECT("R[-1]C[-7]",0) - INDIRECT("RC[-7]",0))^2)</f>
        <v>9.2418288233444361</v>
      </c>
      <c r="J23">
        <f ca="1">SQRT((INDIRECT("R[-1]C[-9]",0) - INDIRECT("RC[-9]",0))^2 + (INDIRECT("R[-1]C[-7]",0) - INDIRECT("RC[-7]",0))^2)</f>
        <v>8.516225689822928</v>
      </c>
      <c r="K23">
        <f ca="1">SQRT((INDIRECT("R[-1]C[-9]",0) - INDIRECT("RC[-9]",0))^2 + (INDIRECT("R[-1]C[-8]",0) - INDIRECT("RC[-8]",0))^2)</f>
        <v>6.6281596239076803</v>
      </c>
    </row>
    <row r="24" spans="1:11" x14ac:dyDescent="0.25">
      <c r="A24">
        <f>AxisValue(A19,8)</f>
        <v>4.0090000000000003</v>
      </c>
      <c r="B24">
        <f>AxisValue(B19,8)</f>
        <v>2.11</v>
      </c>
      <c r="C24">
        <f>AxisValue(C19,8)</f>
        <v>-0.77</v>
      </c>
      <c r="D24">
        <f ca="1">SQRT(INDIRECT("RC[-3]",0)^2 + INDIRECT("RC[-2]",0)^2 + INDIRECT("RC[-1]",0)^2)</f>
        <v>4.5953325233327789</v>
      </c>
      <c r="E24">
        <f ca="1">SQRT((INDIRECT("R[-1]C[-4]",0) - INDIRECT("RC[-4]",0))^2 + (INDIRECT("R[-1]C[-3]",0) - INDIRECT("RC[-3]",0))^2 + (INDIRECT("R[-1]C[-2]",0) - INDIRECT("RC[-2]",0))^2)</f>
        <v>6.5500779384676022</v>
      </c>
      <c r="F24">
        <f t="shared" ca="1" si="4"/>
        <v>2.7890000000000006</v>
      </c>
      <c r="G24">
        <f t="shared" ca="1" si="4"/>
        <v>4.1099999999999994</v>
      </c>
      <c r="H24">
        <f t="shared" ca="1" si="4"/>
        <v>4.2699999999999996</v>
      </c>
      <c r="I24">
        <f ca="1">SQRT((INDIRECT("R[-1]C[-8]",0) - INDIRECT("RC[-8]",0))^2 + (INDIRECT("R[-1]C[-7]",0) - INDIRECT("RC[-7]",0))^2)</f>
        <v>4.9669528888444265</v>
      </c>
      <c r="J24">
        <f ca="1">SQRT((INDIRECT("R[-1]C[-9]",0) - INDIRECT("RC[-9]",0))^2 + (INDIRECT("R[-1]C[-7]",0) - INDIRECT("RC[-7]",0))^2)</f>
        <v>5.1001393118227663</v>
      </c>
      <c r="K24">
        <f ca="1">SQRT((INDIRECT("R[-1]C[-9]",0) - INDIRECT("RC[-9]",0))^2 + (INDIRECT("R[-1]C[-8]",0) - INDIRECT("RC[-8]",0))^2)</f>
        <v>5.9266347955648486</v>
      </c>
    </row>
    <row r="25" spans="1:11" x14ac:dyDescent="0.25">
      <c r="D25" t="s">
        <v>4</v>
      </c>
      <c r="E25">
        <f t="shared" ref="E25:K25" ca="1" si="5">(INDIRECT("R[-1]C",0) + INDIRECT("R[-2]C",0) + INDIRECT("R[-3]C",0) + INDIRECT("R[-4]C",0))</f>
        <v>35.564484887633753</v>
      </c>
      <c r="F25">
        <f t="shared" ca="1" si="5"/>
        <v>20.509</v>
      </c>
      <c r="G25">
        <f t="shared" ca="1" si="5"/>
        <v>13.469999999999999</v>
      </c>
      <c r="H25">
        <f t="shared" ca="1" si="5"/>
        <v>23.45</v>
      </c>
      <c r="I25">
        <f t="shared" ca="1" si="5"/>
        <v>25.442733916865691</v>
      </c>
      <c r="J25">
        <f t="shared" ca="1" si="5"/>
        <v>31.938277413793536</v>
      </c>
      <c r="K25">
        <f t="shared" ca="1" si="5"/>
        <v>28.559345132744298</v>
      </c>
    </row>
    <row r="26" spans="1:11" x14ac:dyDescent="0.25">
      <c r="A26" t="s">
        <v>18</v>
      </c>
    </row>
    <row r="27" spans="1:11" x14ac:dyDescent="0.25">
      <c r="A27" s="1" t="s">
        <v>26</v>
      </c>
      <c r="B27" s="1" t="s">
        <v>25</v>
      </c>
      <c r="C27" s="1" t="s">
        <v>23</v>
      </c>
      <c r="D27" t="s">
        <v>10</v>
      </c>
      <c r="E27" t="s">
        <v>14</v>
      </c>
      <c r="F27" t="s">
        <v>13</v>
      </c>
      <c r="G27" t="s">
        <v>12</v>
      </c>
      <c r="H27" t="s">
        <v>11</v>
      </c>
      <c r="I27" t="s">
        <v>15</v>
      </c>
      <c r="J27" t="s">
        <v>16</v>
      </c>
      <c r="K27" t="s">
        <v>17</v>
      </c>
    </row>
    <row r="28" spans="1:11" x14ac:dyDescent="0.25">
      <c r="A28">
        <f>AxisValue(A27,4)</f>
        <v>-1.5</v>
      </c>
      <c r="B28">
        <f>AxisValue(B27,4)</f>
        <v>-2.7</v>
      </c>
      <c r="C28">
        <f>AxisValue(C27,4)</f>
        <v>7.8</v>
      </c>
      <c r="D28">
        <f ca="1">SQRT(INDIRECT("RC[-3]",0)^2 + INDIRECT("RC[-2]",0)^2 + INDIRECT("RC[-1]",0)^2)</f>
        <v>8.3892788724657379</v>
      </c>
    </row>
    <row r="29" spans="1:11" x14ac:dyDescent="0.25">
      <c r="A29">
        <f>AxisValue(A27,5)</f>
        <v>-9</v>
      </c>
      <c r="B29">
        <f>AxisValue(B27,5)</f>
        <v>-1</v>
      </c>
      <c r="C29">
        <f>AxisValue(C27,5)</f>
        <v>-3.5</v>
      </c>
      <c r="D29">
        <f ca="1">SQRT(INDIRECT("RC[-3]",0)^2 + INDIRECT("RC[-2]",0)^2 + INDIRECT("RC[-1]",0)^2)</f>
        <v>9.7082439194737997</v>
      </c>
      <c r="E29">
        <f ca="1">SQRT((INDIRECT("R[-1]C[-4]",0) - INDIRECT("RC[-4]",0))^2 + (INDIRECT("R[-1]C[-3]",0) - INDIRECT("RC[-3]",0))^2 + (INDIRECT("R[-1]C[-2]",0) - INDIRECT("RC[-2]",0))^2)</f>
        <v>13.668577102244404</v>
      </c>
      <c r="F29">
        <f t="shared" ref="F29:H32" ca="1" si="6">SQRT((INDIRECT("R[-1]C[-5]",0) - INDIRECT("RC[-5]",0))^2)</f>
        <v>7.5</v>
      </c>
      <c r="G29">
        <f t="shared" ca="1" si="6"/>
        <v>1.7000000000000002</v>
      </c>
      <c r="H29">
        <f t="shared" ca="1" si="6"/>
        <v>11.3</v>
      </c>
      <c r="I29">
        <f ca="1">SQRT((INDIRECT("R[-1]C[-8]",0) - INDIRECT("RC[-8]",0))^2 + (INDIRECT("R[-1]C[-7]",0) - INDIRECT("RC[-7]",0))^2)</f>
        <v>7.6902535718921516</v>
      </c>
      <c r="J29">
        <f ca="1">SQRT((INDIRECT("R[-1]C[-9]",0) - INDIRECT("RC[-9]",0))^2 + (INDIRECT("R[-1]C[-7]",0) - INDIRECT("RC[-7]",0))^2)</f>
        <v>13.56244815658294</v>
      </c>
      <c r="K29">
        <f ca="1">SQRT((INDIRECT("R[-1]C[-9]",0) - INDIRECT("RC[-9]",0))^2 + (INDIRECT("R[-1]C[-8]",0) - INDIRECT("RC[-8]",0))^2)</f>
        <v>11.427160627207444</v>
      </c>
    </row>
    <row r="30" spans="1:11" x14ac:dyDescent="0.25">
      <c r="A30">
        <f>AxisValue(A27,6)</f>
        <v>-6.33</v>
      </c>
      <c r="B30">
        <f>AxisValue(B27,6)</f>
        <v>-3.33</v>
      </c>
      <c r="C30">
        <f>AxisValue(C27,6)</f>
        <v>0.44</v>
      </c>
      <c r="D30">
        <f ca="1">SQRT(INDIRECT("RC[-3]",0)^2 + INDIRECT("RC[-2]",0)^2 + INDIRECT("RC[-1]",0)^2)</f>
        <v>7.1659891152582693</v>
      </c>
      <c r="E30">
        <f ca="1">SQRT((INDIRECT("R[-1]C[-4]",0) - INDIRECT("RC[-4]",0))^2 + (INDIRECT("R[-1]C[-3]",0) - INDIRECT("RC[-3]",0))^2 + (INDIRECT("R[-1]C[-2]",0) - INDIRECT("RC[-2]",0))^2)</f>
        <v>5.2991886171375331</v>
      </c>
      <c r="F30">
        <f t="shared" ca="1" si="6"/>
        <v>2.67</v>
      </c>
      <c r="G30">
        <f t="shared" ca="1" si="6"/>
        <v>2.33</v>
      </c>
      <c r="H30">
        <f t="shared" ca="1" si="6"/>
        <v>3.94</v>
      </c>
      <c r="I30">
        <f ca="1">SQRT((INDIRECT("R[-1]C[-8]",0) - INDIRECT("RC[-8]",0))^2 + (INDIRECT("R[-1]C[-7]",0) - INDIRECT("RC[-7]",0))^2)</f>
        <v>3.5436986327846784</v>
      </c>
      <c r="J30">
        <f ca="1">SQRT((INDIRECT("R[-1]C[-9]",0) - INDIRECT("RC[-9]",0))^2 + (INDIRECT("R[-1]C[-7]",0) - INDIRECT("RC[-7]",0))^2)</f>
        <v>4.7594642555649056</v>
      </c>
      <c r="K30">
        <f ca="1">SQRT((INDIRECT("R[-1]C[-9]",0) - INDIRECT("RC[-9]",0))^2 + (INDIRECT("R[-1]C[-8]",0) - INDIRECT("RC[-8]",0))^2)</f>
        <v>4.5773900860643284</v>
      </c>
    </row>
    <row r="31" spans="1:11" x14ac:dyDescent="0.25">
      <c r="A31">
        <f>AxisValue(A27,7)</f>
        <v>1.22</v>
      </c>
      <c r="B31">
        <f>AxisValue(B27,7)</f>
        <v>2</v>
      </c>
      <c r="C31">
        <f>AxisValue(C27,7)</f>
        <v>-3.5</v>
      </c>
      <c r="D31">
        <f ca="1">SQRT(INDIRECT("RC[-3]",0)^2 + INDIRECT("RC[-2]",0)^2 + INDIRECT("RC[-1]",0)^2)</f>
        <v>4.2116979948709519</v>
      </c>
      <c r="E31">
        <f ca="1">SQRT((INDIRECT("R[-1]C[-4]",0) - INDIRECT("RC[-4]",0))^2 + (INDIRECT("R[-1]C[-3]",0) - INDIRECT("RC[-3]",0))^2 + (INDIRECT("R[-1]C[-2]",0) - INDIRECT("RC[-2]",0))^2)</f>
        <v>10.04664122978421</v>
      </c>
      <c r="F31">
        <f t="shared" ca="1" si="6"/>
        <v>7.55</v>
      </c>
      <c r="G31">
        <f t="shared" ca="1" si="6"/>
        <v>5.33</v>
      </c>
      <c r="H31">
        <f t="shared" ca="1" si="6"/>
        <v>3.94</v>
      </c>
      <c r="I31">
        <f ca="1">SQRT((INDIRECT("R[-1]C[-8]",0) - INDIRECT("RC[-8]",0))^2 + (INDIRECT("R[-1]C[-7]",0) - INDIRECT("RC[-7]",0))^2)</f>
        <v>9.2418288233444361</v>
      </c>
      <c r="J31">
        <f ca="1">SQRT((INDIRECT("R[-1]C[-9]",0) - INDIRECT("RC[-9]",0))^2 + (INDIRECT("R[-1]C[-7]",0) - INDIRECT("RC[-7]",0))^2)</f>
        <v>8.516225689822928</v>
      </c>
      <c r="K31">
        <f ca="1">SQRT((INDIRECT("R[-1]C[-9]",0) - INDIRECT("RC[-9]",0))^2 + (INDIRECT("R[-1]C[-8]",0) - INDIRECT("RC[-8]",0))^2)</f>
        <v>6.6281596239076803</v>
      </c>
    </row>
    <row r="32" spans="1:11" x14ac:dyDescent="0.25">
      <c r="A32">
        <f>AxisValue(A27,8)</f>
        <v>4.0090000000000003</v>
      </c>
      <c r="B32">
        <f>AxisValue(B27,8)</f>
        <v>-2.11</v>
      </c>
      <c r="C32">
        <f>AxisValue(C27,8)</f>
        <v>0.77</v>
      </c>
      <c r="D32">
        <f ca="1">SQRT(INDIRECT("RC[-3]",0)^2 + INDIRECT("RC[-2]",0)^2 + INDIRECT("RC[-1]",0)^2)</f>
        <v>4.5953325233327789</v>
      </c>
      <c r="E32">
        <f ca="1">SQRT((INDIRECT("R[-1]C[-4]",0) - INDIRECT("RC[-4]",0))^2 + (INDIRECT("R[-1]C[-3]",0) - INDIRECT("RC[-3]",0))^2 + (INDIRECT("R[-1]C[-2]",0) - INDIRECT("RC[-2]",0))^2)</f>
        <v>6.5500779384676022</v>
      </c>
      <c r="F32">
        <f t="shared" ca="1" si="6"/>
        <v>2.7890000000000006</v>
      </c>
      <c r="G32">
        <f t="shared" ca="1" si="6"/>
        <v>4.1099999999999994</v>
      </c>
      <c r="H32">
        <f t="shared" ca="1" si="6"/>
        <v>4.2699999999999996</v>
      </c>
      <c r="I32">
        <f ca="1">SQRT((INDIRECT("R[-1]C[-8]",0) - INDIRECT("RC[-8]",0))^2 + (INDIRECT("R[-1]C[-7]",0) - INDIRECT("RC[-7]",0))^2)</f>
        <v>4.9669528888444265</v>
      </c>
      <c r="J32">
        <f ca="1">SQRT((INDIRECT("R[-1]C[-9]",0) - INDIRECT("RC[-9]",0))^2 + (INDIRECT("R[-1]C[-7]",0) - INDIRECT("RC[-7]",0))^2)</f>
        <v>5.1001393118227663</v>
      </c>
      <c r="K32">
        <f ca="1">SQRT((INDIRECT("R[-1]C[-9]",0) - INDIRECT("RC[-9]",0))^2 + (INDIRECT("R[-1]C[-8]",0) - INDIRECT("RC[-8]",0))^2)</f>
        <v>5.9266347955648486</v>
      </c>
    </row>
    <row r="33" spans="1:11" x14ac:dyDescent="0.25">
      <c r="D33" t="s">
        <v>4</v>
      </c>
      <c r="E33">
        <f t="shared" ref="E33:K33" ca="1" si="7">(INDIRECT("R[-1]C",0) + INDIRECT("R[-2]C",0) + INDIRECT("R[-3]C",0) + INDIRECT("R[-4]C",0))</f>
        <v>35.564484887633753</v>
      </c>
      <c r="F33">
        <f t="shared" ca="1" si="7"/>
        <v>20.509</v>
      </c>
      <c r="G33">
        <f t="shared" ca="1" si="7"/>
        <v>13.469999999999999</v>
      </c>
      <c r="H33">
        <f t="shared" ca="1" si="7"/>
        <v>23.45</v>
      </c>
      <c r="I33">
        <f t="shared" ca="1" si="7"/>
        <v>25.442733916865691</v>
      </c>
      <c r="J33">
        <f t="shared" ca="1" si="7"/>
        <v>31.938277413793536</v>
      </c>
      <c r="K33">
        <f t="shared" ca="1" si="7"/>
        <v>28.559345132744298</v>
      </c>
    </row>
    <row r="34" spans="1:11" x14ac:dyDescent="0.25">
      <c r="A34" t="s">
        <v>18</v>
      </c>
    </row>
    <row r="35" spans="1:11" x14ac:dyDescent="0.25">
      <c r="A35" s="1" t="s">
        <v>26</v>
      </c>
      <c r="B35" s="1" t="s">
        <v>25</v>
      </c>
      <c r="C35" s="1" t="s">
        <v>24</v>
      </c>
      <c r="D35" t="s">
        <v>10</v>
      </c>
      <c r="E35" t="s">
        <v>14</v>
      </c>
      <c r="F35" t="s">
        <v>13</v>
      </c>
      <c r="G35" t="s">
        <v>12</v>
      </c>
      <c r="H35" t="s">
        <v>11</v>
      </c>
      <c r="I35" t="s">
        <v>15</v>
      </c>
      <c r="J35" t="s">
        <v>16</v>
      </c>
      <c r="K35" t="s">
        <v>17</v>
      </c>
    </row>
    <row r="36" spans="1:11" x14ac:dyDescent="0.25">
      <c r="A36">
        <f>AxisValue(A35,4)</f>
        <v>-1.5</v>
      </c>
      <c r="B36">
        <f>AxisValue(B35,4)</f>
        <v>-2.7</v>
      </c>
      <c r="C36">
        <f>AxisValue(C35,4)</f>
        <v>-7.8</v>
      </c>
      <c r="D36">
        <f ca="1">SQRT(INDIRECT("RC[-3]",0)^2 + INDIRECT("RC[-2]",0)^2 + INDIRECT("RC[-1]",0)^2)</f>
        <v>8.3892788724657379</v>
      </c>
    </row>
    <row r="37" spans="1:11" x14ac:dyDescent="0.25">
      <c r="A37">
        <f>AxisValue(A35,5)</f>
        <v>-9</v>
      </c>
      <c r="B37">
        <f>AxisValue(B35,5)</f>
        <v>-1</v>
      </c>
      <c r="C37">
        <f>AxisValue(C35,5)</f>
        <v>3.5</v>
      </c>
      <c r="D37">
        <f ca="1">SQRT(INDIRECT("RC[-3]",0)^2 + INDIRECT("RC[-2]",0)^2 + INDIRECT("RC[-1]",0)^2)</f>
        <v>9.7082439194737997</v>
      </c>
      <c r="E37">
        <f ca="1">SQRT((INDIRECT("R[-1]C[-4]",0) - INDIRECT("RC[-4]",0))^2 + (INDIRECT("R[-1]C[-3]",0) - INDIRECT("RC[-3]",0))^2 + (INDIRECT("R[-1]C[-2]",0) - INDIRECT("RC[-2]",0))^2)</f>
        <v>13.668577102244404</v>
      </c>
      <c r="F37">
        <f t="shared" ref="F37:H40" ca="1" si="8">SQRT((INDIRECT("R[-1]C[-5]",0) - INDIRECT("RC[-5]",0))^2)</f>
        <v>7.5</v>
      </c>
      <c r="G37">
        <f t="shared" ca="1" si="8"/>
        <v>1.7000000000000002</v>
      </c>
      <c r="H37">
        <f t="shared" ca="1" si="8"/>
        <v>11.3</v>
      </c>
      <c r="I37">
        <f ca="1">SQRT((INDIRECT("R[-1]C[-8]",0) - INDIRECT("RC[-8]",0))^2 + (INDIRECT("R[-1]C[-7]",0) - INDIRECT("RC[-7]",0))^2)</f>
        <v>7.6902535718921516</v>
      </c>
      <c r="J37">
        <f ca="1">SQRT((INDIRECT("R[-1]C[-9]",0) - INDIRECT("RC[-9]",0))^2 + (INDIRECT("R[-1]C[-7]",0) - INDIRECT("RC[-7]",0))^2)</f>
        <v>13.56244815658294</v>
      </c>
      <c r="K37">
        <f ca="1">SQRT((INDIRECT("R[-1]C[-9]",0) - INDIRECT("RC[-9]",0))^2 + (INDIRECT("R[-1]C[-8]",0) - INDIRECT("RC[-8]",0))^2)</f>
        <v>11.427160627207444</v>
      </c>
    </row>
    <row r="38" spans="1:11" x14ac:dyDescent="0.25">
      <c r="A38">
        <f>AxisValue(A35,6)</f>
        <v>-6.33</v>
      </c>
      <c r="B38">
        <f>AxisValue(B35,6)</f>
        <v>-3.33</v>
      </c>
      <c r="C38">
        <f>AxisValue(C35,6)</f>
        <v>-0.44</v>
      </c>
      <c r="D38">
        <f ca="1">SQRT(INDIRECT("RC[-3]",0)^2 + INDIRECT("RC[-2]",0)^2 + INDIRECT("RC[-1]",0)^2)</f>
        <v>7.1659891152582693</v>
      </c>
      <c r="E38">
        <f ca="1">SQRT((INDIRECT("R[-1]C[-4]",0) - INDIRECT("RC[-4]",0))^2 + (INDIRECT("R[-1]C[-3]",0) - INDIRECT("RC[-3]",0))^2 + (INDIRECT("R[-1]C[-2]",0) - INDIRECT("RC[-2]",0))^2)</f>
        <v>5.2991886171375331</v>
      </c>
      <c r="F38">
        <f t="shared" ca="1" si="8"/>
        <v>2.67</v>
      </c>
      <c r="G38">
        <f t="shared" ca="1" si="8"/>
        <v>2.33</v>
      </c>
      <c r="H38">
        <f t="shared" ca="1" si="8"/>
        <v>3.94</v>
      </c>
      <c r="I38">
        <f ca="1">SQRT((INDIRECT("R[-1]C[-8]",0) - INDIRECT("RC[-8]",0))^2 + (INDIRECT("R[-1]C[-7]",0) - INDIRECT("RC[-7]",0))^2)</f>
        <v>3.5436986327846784</v>
      </c>
      <c r="J38">
        <f ca="1">SQRT((INDIRECT("R[-1]C[-9]",0) - INDIRECT("RC[-9]",0))^2 + (INDIRECT("R[-1]C[-7]",0) - INDIRECT("RC[-7]",0))^2)</f>
        <v>4.7594642555649056</v>
      </c>
      <c r="K38">
        <f ca="1">SQRT((INDIRECT("R[-1]C[-9]",0) - INDIRECT("RC[-9]",0))^2 + (INDIRECT("R[-1]C[-8]",0) - INDIRECT("RC[-8]",0))^2)</f>
        <v>4.5773900860643284</v>
      </c>
    </row>
    <row r="39" spans="1:11" x14ac:dyDescent="0.25">
      <c r="A39">
        <f>AxisValue(A35,7)</f>
        <v>1.22</v>
      </c>
      <c r="B39">
        <f>AxisValue(B35,7)</f>
        <v>2</v>
      </c>
      <c r="C39">
        <f>AxisValue(C35,7)</f>
        <v>3.5</v>
      </c>
      <c r="D39">
        <f ca="1">SQRT(INDIRECT("RC[-3]",0)^2 + INDIRECT("RC[-2]",0)^2 + INDIRECT("RC[-1]",0)^2)</f>
        <v>4.2116979948709519</v>
      </c>
      <c r="E39">
        <f ca="1">SQRT((INDIRECT("R[-1]C[-4]",0) - INDIRECT("RC[-4]",0))^2 + (INDIRECT("R[-1]C[-3]",0) - INDIRECT("RC[-3]",0))^2 + (INDIRECT("R[-1]C[-2]",0) - INDIRECT("RC[-2]",0))^2)</f>
        <v>10.04664122978421</v>
      </c>
      <c r="F39">
        <f t="shared" ca="1" si="8"/>
        <v>7.55</v>
      </c>
      <c r="G39">
        <f t="shared" ca="1" si="8"/>
        <v>5.33</v>
      </c>
      <c r="H39">
        <f t="shared" ca="1" si="8"/>
        <v>3.94</v>
      </c>
      <c r="I39">
        <f ca="1">SQRT((INDIRECT("R[-1]C[-8]",0) - INDIRECT("RC[-8]",0))^2 + (INDIRECT("R[-1]C[-7]",0) - INDIRECT("RC[-7]",0))^2)</f>
        <v>9.2418288233444361</v>
      </c>
      <c r="J39">
        <f ca="1">SQRT((INDIRECT("R[-1]C[-9]",0) - INDIRECT("RC[-9]",0))^2 + (INDIRECT("R[-1]C[-7]",0) - INDIRECT("RC[-7]",0))^2)</f>
        <v>8.516225689822928</v>
      </c>
      <c r="K39">
        <f ca="1">SQRT((INDIRECT("R[-1]C[-9]",0) - INDIRECT("RC[-9]",0))^2 + (INDIRECT("R[-1]C[-8]",0) - INDIRECT("RC[-8]",0))^2)</f>
        <v>6.6281596239076803</v>
      </c>
    </row>
    <row r="40" spans="1:11" x14ac:dyDescent="0.25">
      <c r="A40">
        <f>AxisValue(A35,8)</f>
        <v>4.0090000000000003</v>
      </c>
      <c r="B40">
        <f>AxisValue(B35,8)</f>
        <v>-2.11</v>
      </c>
      <c r="C40">
        <f>AxisValue(C35,8)</f>
        <v>-0.77</v>
      </c>
      <c r="D40">
        <f ca="1">SQRT(INDIRECT("RC[-3]",0)^2 + INDIRECT("RC[-2]",0)^2 + INDIRECT("RC[-1]",0)^2)</f>
        <v>4.5953325233327789</v>
      </c>
      <c r="E40">
        <f ca="1">SQRT((INDIRECT("R[-1]C[-4]",0) - INDIRECT("RC[-4]",0))^2 + (INDIRECT("R[-1]C[-3]",0) - INDIRECT("RC[-3]",0))^2 + (INDIRECT("R[-1]C[-2]",0) - INDIRECT("RC[-2]",0))^2)</f>
        <v>6.5500779384676022</v>
      </c>
      <c r="F40">
        <f t="shared" ca="1" si="8"/>
        <v>2.7890000000000006</v>
      </c>
      <c r="G40">
        <f t="shared" ca="1" si="8"/>
        <v>4.1099999999999994</v>
      </c>
      <c r="H40">
        <f t="shared" ca="1" si="8"/>
        <v>4.2699999999999996</v>
      </c>
      <c r="I40">
        <f ca="1">SQRT((INDIRECT("R[-1]C[-8]",0) - INDIRECT("RC[-8]",0))^2 + (INDIRECT("R[-1]C[-7]",0) - INDIRECT("RC[-7]",0))^2)</f>
        <v>4.9669528888444265</v>
      </c>
      <c r="J40">
        <f ca="1">SQRT((INDIRECT("R[-1]C[-9]",0) - INDIRECT("RC[-9]",0))^2 + (INDIRECT("R[-1]C[-7]",0) - INDIRECT("RC[-7]",0))^2)</f>
        <v>5.1001393118227663</v>
      </c>
      <c r="K40">
        <f ca="1">SQRT((INDIRECT("R[-1]C[-9]",0) - INDIRECT("RC[-9]",0))^2 + (INDIRECT("R[-1]C[-8]",0) - INDIRECT("RC[-8]",0))^2)</f>
        <v>5.9266347955648486</v>
      </c>
    </row>
    <row r="41" spans="1:11" x14ac:dyDescent="0.25">
      <c r="D41" t="s">
        <v>4</v>
      </c>
      <c r="E41">
        <f t="shared" ref="E41:K41" ca="1" si="9">(INDIRECT("R[-1]C",0) + INDIRECT("R[-2]C",0) + INDIRECT("R[-3]C",0) + INDIRECT("R[-4]C",0))</f>
        <v>35.564484887633753</v>
      </c>
      <c r="F41">
        <f t="shared" ca="1" si="9"/>
        <v>20.509</v>
      </c>
      <c r="G41">
        <f t="shared" ca="1" si="9"/>
        <v>13.469999999999999</v>
      </c>
      <c r="H41">
        <f t="shared" ca="1" si="9"/>
        <v>23.45</v>
      </c>
      <c r="I41">
        <f t="shared" ca="1" si="9"/>
        <v>25.442733916865691</v>
      </c>
      <c r="J41">
        <f t="shared" ca="1" si="9"/>
        <v>31.938277413793536</v>
      </c>
      <c r="K41">
        <f t="shared" ca="1" si="9"/>
        <v>28.559345132744298</v>
      </c>
    </row>
    <row r="42" spans="1:11" x14ac:dyDescent="0.25">
      <c r="A42" t="s">
        <v>18</v>
      </c>
    </row>
    <row r="43" spans="1:11" x14ac:dyDescent="0.25">
      <c r="A43" s="1" t="s">
        <v>22</v>
      </c>
      <c r="B43" s="1" t="s">
        <v>21</v>
      </c>
      <c r="C43" s="1" t="s">
        <v>23</v>
      </c>
      <c r="D43" t="s">
        <v>10</v>
      </c>
      <c r="E43" t="s">
        <v>14</v>
      </c>
      <c r="F43" t="s">
        <v>13</v>
      </c>
      <c r="G43" t="s">
        <v>12</v>
      </c>
      <c r="H43" t="s">
        <v>11</v>
      </c>
      <c r="I43" t="s">
        <v>15</v>
      </c>
      <c r="J43" t="s">
        <v>16</v>
      </c>
      <c r="K43" t="s">
        <v>17</v>
      </c>
    </row>
    <row r="44" spans="1:11" x14ac:dyDescent="0.25">
      <c r="A44">
        <f>AxisValue(A43,4)</f>
        <v>2.7</v>
      </c>
      <c r="B44">
        <f>AxisValue(B43,4)</f>
        <v>1.5</v>
      </c>
      <c r="C44">
        <f>AxisValue(C43,4)</f>
        <v>7.8</v>
      </c>
      <c r="D44">
        <f ca="1">SQRT(INDIRECT("RC[-3]",0)^2 + INDIRECT("RC[-2]",0)^2 + INDIRECT("RC[-1]",0)^2)</f>
        <v>8.3892788724657379</v>
      </c>
    </row>
    <row r="45" spans="1:11" x14ac:dyDescent="0.25">
      <c r="A45">
        <f>AxisValue(A43,5)</f>
        <v>1</v>
      </c>
      <c r="B45">
        <f>AxisValue(B43,5)</f>
        <v>9</v>
      </c>
      <c r="C45">
        <f>AxisValue(C43,5)</f>
        <v>-3.5</v>
      </c>
      <c r="D45">
        <f ca="1">SQRT(INDIRECT("RC[-3]",0)^2 + INDIRECT("RC[-2]",0)^2 + INDIRECT("RC[-1]",0)^2)</f>
        <v>9.7082439194737997</v>
      </c>
      <c r="E45">
        <f ca="1">SQRT((INDIRECT("R[-1]C[-4]",0) - INDIRECT("RC[-4]",0))^2 + (INDIRECT("R[-1]C[-3]",0) - INDIRECT("RC[-3]",0))^2 + (INDIRECT("R[-1]C[-2]",0) - INDIRECT("RC[-2]",0))^2)</f>
        <v>13.668577102244404</v>
      </c>
      <c r="F45">
        <f t="shared" ref="F45:H48" ca="1" si="10">SQRT((INDIRECT("R[-1]C[-5]",0) - INDIRECT("RC[-5]",0))^2)</f>
        <v>1.7000000000000002</v>
      </c>
      <c r="G45">
        <f t="shared" ca="1" si="10"/>
        <v>7.5</v>
      </c>
      <c r="H45">
        <f t="shared" ca="1" si="10"/>
        <v>11.3</v>
      </c>
      <c r="I45">
        <f ca="1">SQRT((INDIRECT("R[-1]C[-8]",0) - INDIRECT("RC[-8]",0))^2 + (INDIRECT("R[-1]C[-7]",0) - INDIRECT("RC[-7]",0))^2)</f>
        <v>7.6902535718921516</v>
      </c>
      <c r="J45">
        <f ca="1">SQRT((INDIRECT("R[-1]C[-9]",0) - INDIRECT("RC[-9]",0))^2 + (INDIRECT("R[-1]C[-7]",0) - INDIRECT("RC[-7]",0))^2)</f>
        <v>11.427160627207444</v>
      </c>
      <c r="K45">
        <f ca="1">SQRT((INDIRECT("R[-1]C[-9]",0) - INDIRECT("RC[-9]",0))^2 + (INDIRECT("R[-1]C[-8]",0) - INDIRECT("RC[-8]",0))^2)</f>
        <v>13.56244815658294</v>
      </c>
    </row>
    <row r="46" spans="1:11" x14ac:dyDescent="0.25">
      <c r="A46">
        <f>AxisValue(A43,6)</f>
        <v>3.33</v>
      </c>
      <c r="B46">
        <f>AxisValue(B43,6)</f>
        <v>6.33</v>
      </c>
      <c r="C46">
        <f>AxisValue(C43,6)</f>
        <v>0.44</v>
      </c>
      <c r="D46">
        <f ca="1">SQRT(INDIRECT("RC[-3]",0)^2 + INDIRECT("RC[-2]",0)^2 + INDIRECT("RC[-1]",0)^2)</f>
        <v>7.1659891152582693</v>
      </c>
      <c r="E46">
        <f ca="1">SQRT((INDIRECT("R[-1]C[-4]",0) - INDIRECT("RC[-4]",0))^2 + (INDIRECT("R[-1]C[-3]",0) - INDIRECT("RC[-3]",0))^2 + (INDIRECT("R[-1]C[-2]",0) - INDIRECT("RC[-2]",0))^2)</f>
        <v>5.2991886171375331</v>
      </c>
      <c r="F46">
        <f t="shared" ca="1" si="10"/>
        <v>2.33</v>
      </c>
      <c r="G46">
        <f t="shared" ca="1" si="10"/>
        <v>2.67</v>
      </c>
      <c r="H46">
        <f t="shared" ca="1" si="10"/>
        <v>3.94</v>
      </c>
      <c r="I46">
        <f ca="1">SQRT((INDIRECT("R[-1]C[-8]",0) - INDIRECT("RC[-8]",0))^2 + (INDIRECT("R[-1]C[-7]",0) - INDIRECT("RC[-7]",0))^2)</f>
        <v>3.5436986327846784</v>
      </c>
      <c r="J46">
        <f ca="1">SQRT((INDIRECT("R[-1]C[-9]",0) - INDIRECT("RC[-9]",0))^2 + (INDIRECT("R[-1]C[-7]",0) - INDIRECT("RC[-7]",0))^2)</f>
        <v>4.5773900860643284</v>
      </c>
      <c r="K46">
        <f ca="1">SQRT((INDIRECT("R[-1]C[-9]",0) - INDIRECT("RC[-9]",0))^2 + (INDIRECT("R[-1]C[-8]",0) - INDIRECT("RC[-8]",0))^2)</f>
        <v>4.7594642555649056</v>
      </c>
    </row>
    <row r="47" spans="1:11" x14ac:dyDescent="0.25">
      <c r="A47">
        <f>AxisValue(A43,7)</f>
        <v>-2</v>
      </c>
      <c r="B47">
        <f>AxisValue(B43,7)</f>
        <v>-1.22</v>
      </c>
      <c r="C47">
        <f>AxisValue(C43,7)</f>
        <v>-3.5</v>
      </c>
      <c r="D47">
        <f ca="1">SQRT(INDIRECT("RC[-3]",0)^2 + INDIRECT("RC[-2]",0)^2 + INDIRECT("RC[-1]",0)^2)</f>
        <v>4.2116979948709519</v>
      </c>
      <c r="E47">
        <f ca="1">SQRT((INDIRECT("R[-1]C[-4]",0) - INDIRECT("RC[-4]",0))^2 + (INDIRECT("R[-1]C[-3]",0) - INDIRECT("RC[-3]",0))^2 + (INDIRECT("R[-1]C[-2]",0) - INDIRECT("RC[-2]",0))^2)</f>
        <v>10.04664122978421</v>
      </c>
      <c r="F47">
        <f t="shared" ca="1" si="10"/>
        <v>5.33</v>
      </c>
      <c r="G47">
        <f t="shared" ca="1" si="10"/>
        <v>7.55</v>
      </c>
      <c r="H47">
        <f t="shared" ca="1" si="10"/>
        <v>3.94</v>
      </c>
      <c r="I47">
        <f ca="1">SQRT((INDIRECT("R[-1]C[-8]",0) - INDIRECT("RC[-8]",0))^2 + (INDIRECT("R[-1]C[-7]",0) - INDIRECT("RC[-7]",0))^2)</f>
        <v>9.2418288233444361</v>
      </c>
      <c r="J47">
        <f ca="1">SQRT((INDIRECT("R[-1]C[-9]",0) - INDIRECT("RC[-9]",0))^2 + (INDIRECT("R[-1]C[-7]",0) - INDIRECT("RC[-7]",0))^2)</f>
        <v>6.6281596239076803</v>
      </c>
      <c r="K47">
        <f ca="1">SQRT((INDIRECT("R[-1]C[-9]",0) - INDIRECT("RC[-9]",0))^2 + (INDIRECT("R[-1]C[-8]",0) - INDIRECT("RC[-8]",0))^2)</f>
        <v>8.516225689822928</v>
      </c>
    </row>
    <row r="48" spans="1:11" x14ac:dyDescent="0.25">
      <c r="A48">
        <f>AxisValue(A43,8)</f>
        <v>2.11</v>
      </c>
      <c r="B48">
        <f>AxisValue(B43,8)</f>
        <v>-4.0090000000000003</v>
      </c>
      <c r="C48">
        <f>AxisValue(C43,8)</f>
        <v>0.77</v>
      </c>
      <c r="D48">
        <f ca="1">SQRT(INDIRECT("RC[-3]",0)^2 + INDIRECT("RC[-2]",0)^2 + INDIRECT("RC[-1]",0)^2)</f>
        <v>4.5953325233327789</v>
      </c>
      <c r="E48">
        <f ca="1">SQRT((INDIRECT("R[-1]C[-4]",0) - INDIRECT("RC[-4]",0))^2 + (INDIRECT("R[-1]C[-3]",0) - INDIRECT("RC[-3]",0))^2 + (INDIRECT("R[-1]C[-2]",0) - INDIRECT("RC[-2]",0))^2)</f>
        <v>6.5500779384676022</v>
      </c>
      <c r="F48">
        <f t="shared" ca="1" si="10"/>
        <v>4.1099999999999994</v>
      </c>
      <c r="G48">
        <f t="shared" ca="1" si="10"/>
        <v>2.7890000000000006</v>
      </c>
      <c r="H48">
        <f t="shared" ca="1" si="10"/>
        <v>4.2699999999999996</v>
      </c>
      <c r="I48">
        <f ca="1">SQRT((INDIRECT("R[-1]C[-8]",0) - INDIRECT("RC[-8]",0))^2 + (INDIRECT("R[-1]C[-7]",0) - INDIRECT("RC[-7]",0))^2)</f>
        <v>4.9669528888444265</v>
      </c>
      <c r="J48">
        <f ca="1">SQRT((INDIRECT("R[-1]C[-9]",0) - INDIRECT("RC[-9]",0))^2 + (INDIRECT("R[-1]C[-7]",0) - INDIRECT("RC[-7]",0))^2)</f>
        <v>5.9266347955648486</v>
      </c>
      <c r="K48">
        <f ca="1">SQRT((INDIRECT("R[-1]C[-9]",0) - INDIRECT("RC[-9]",0))^2 + (INDIRECT("R[-1]C[-8]",0) - INDIRECT("RC[-8]",0))^2)</f>
        <v>5.1001393118227663</v>
      </c>
    </row>
    <row r="49" spans="1:11" x14ac:dyDescent="0.25">
      <c r="D49" t="s">
        <v>4</v>
      </c>
      <c r="E49">
        <f t="shared" ref="E49:K49" ca="1" si="11">(INDIRECT("R[-1]C",0) + INDIRECT("R[-2]C",0) + INDIRECT("R[-3]C",0) + INDIRECT("R[-4]C",0))</f>
        <v>35.564484887633753</v>
      </c>
      <c r="F49">
        <f t="shared" ca="1" si="11"/>
        <v>13.469999999999999</v>
      </c>
      <c r="G49">
        <f t="shared" ca="1" si="11"/>
        <v>20.509</v>
      </c>
      <c r="H49">
        <f t="shared" ca="1" si="11"/>
        <v>23.45</v>
      </c>
      <c r="I49">
        <f t="shared" ca="1" si="11"/>
        <v>25.442733916865691</v>
      </c>
      <c r="J49">
        <f t="shared" ca="1" si="11"/>
        <v>28.559345132744298</v>
      </c>
      <c r="K49">
        <f t="shared" ca="1" si="11"/>
        <v>31.938277413793536</v>
      </c>
    </row>
    <row r="50" spans="1:11" x14ac:dyDescent="0.25">
      <c r="A50" t="s">
        <v>18</v>
      </c>
    </row>
    <row r="51" spans="1:11" x14ac:dyDescent="0.25">
      <c r="A51" s="1" t="s">
        <v>22</v>
      </c>
      <c r="B51" s="1" t="s">
        <v>21</v>
      </c>
      <c r="C51" s="1" t="s">
        <v>24</v>
      </c>
      <c r="D51" t="s">
        <v>10</v>
      </c>
      <c r="E51" t="s">
        <v>14</v>
      </c>
      <c r="F51" t="s">
        <v>13</v>
      </c>
      <c r="G51" t="s">
        <v>12</v>
      </c>
      <c r="H51" t="s">
        <v>11</v>
      </c>
      <c r="I51" t="s">
        <v>15</v>
      </c>
      <c r="J51" t="s">
        <v>16</v>
      </c>
      <c r="K51" t="s">
        <v>17</v>
      </c>
    </row>
    <row r="52" spans="1:11" x14ac:dyDescent="0.25">
      <c r="A52">
        <f>AxisValue(A51,4)</f>
        <v>2.7</v>
      </c>
      <c r="B52">
        <f>AxisValue(B51,4)</f>
        <v>1.5</v>
      </c>
      <c r="C52">
        <f>AxisValue(C51,4)</f>
        <v>-7.8</v>
      </c>
      <c r="D52">
        <f ca="1">SQRT(INDIRECT("RC[-3]",0)^2 + INDIRECT("RC[-2]",0)^2 + INDIRECT("RC[-1]",0)^2)</f>
        <v>8.3892788724657379</v>
      </c>
    </row>
    <row r="53" spans="1:11" x14ac:dyDescent="0.25">
      <c r="A53">
        <f>AxisValue(A51,5)</f>
        <v>1</v>
      </c>
      <c r="B53">
        <f>AxisValue(B51,5)</f>
        <v>9</v>
      </c>
      <c r="C53">
        <f>AxisValue(C51,5)</f>
        <v>3.5</v>
      </c>
      <c r="D53">
        <f ca="1">SQRT(INDIRECT("RC[-3]",0)^2 + INDIRECT("RC[-2]",0)^2 + INDIRECT("RC[-1]",0)^2)</f>
        <v>9.7082439194737997</v>
      </c>
      <c r="E53">
        <f ca="1">SQRT((INDIRECT("R[-1]C[-4]",0) - INDIRECT("RC[-4]",0))^2 + (INDIRECT("R[-1]C[-3]",0) - INDIRECT("RC[-3]",0))^2 + (INDIRECT("R[-1]C[-2]",0) - INDIRECT("RC[-2]",0))^2)</f>
        <v>13.668577102244404</v>
      </c>
      <c r="F53">
        <f t="shared" ref="F53:H56" ca="1" si="12">SQRT((INDIRECT("R[-1]C[-5]",0) - INDIRECT("RC[-5]",0))^2)</f>
        <v>1.7000000000000002</v>
      </c>
      <c r="G53">
        <f t="shared" ca="1" si="12"/>
        <v>7.5</v>
      </c>
      <c r="H53">
        <f t="shared" ca="1" si="12"/>
        <v>11.3</v>
      </c>
      <c r="I53">
        <f ca="1">SQRT((INDIRECT("R[-1]C[-8]",0) - INDIRECT("RC[-8]",0))^2 + (INDIRECT("R[-1]C[-7]",0) - INDIRECT("RC[-7]",0))^2)</f>
        <v>7.6902535718921516</v>
      </c>
      <c r="J53">
        <f ca="1">SQRT((INDIRECT("R[-1]C[-9]",0) - INDIRECT("RC[-9]",0))^2 + (INDIRECT("R[-1]C[-7]",0) - INDIRECT("RC[-7]",0))^2)</f>
        <v>11.427160627207444</v>
      </c>
      <c r="K53">
        <f ca="1">SQRT((INDIRECT("R[-1]C[-9]",0) - INDIRECT("RC[-9]",0))^2 + (INDIRECT("R[-1]C[-8]",0) - INDIRECT("RC[-8]",0))^2)</f>
        <v>13.56244815658294</v>
      </c>
    </row>
    <row r="54" spans="1:11" x14ac:dyDescent="0.25">
      <c r="A54">
        <f>AxisValue(A51,6)</f>
        <v>3.33</v>
      </c>
      <c r="B54">
        <f>AxisValue(B51,6)</f>
        <v>6.33</v>
      </c>
      <c r="C54">
        <f>AxisValue(C51,6)</f>
        <v>-0.44</v>
      </c>
      <c r="D54">
        <f ca="1">SQRT(INDIRECT("RC[-3]",0)^2 + INDIRECT("RC[-2]",0)^2 + INDIRECT("RC[-1]",0)^2)</f>
        <v>7.1659891152582693</v>
      </c>
      <c r="E54">
        <f ca="1">SQRT((INDIRECT("R[-1]C[-4]",0) - INDIRECT("RC[-4]",0))^2 + (INDIRECT("R[-1]C[-3]",0) - INDIRECT("RC[-3]",0))^2 + (INDIRECT("R[-1]C[-2]",0) - INDIRECT("RC[-2]",0))^2)</f>
        <v>5.2991886171375331</v>
      </c>
      <c r="F54">
        <f t="shared" ca="1" si="12"/>
        <v>2.33</v>
      </c>
      <c r="G54">
        <f t="shared" ca="1" si="12"/>
        <v>2.67</v>
      </c>
      <c r="H54">
        <f t="shared" ca="1" si="12"/>
        <v>3.94</v>
      </c>
      <c r="I54">
        <f ca="1">SQRT((INDIRECT("R[-1]C[-8]",0) - INDIRECT("RC[-8]",0))^2 + (INDIRECT("R[-1]C[-7]",0) - INDIRECT("RC[-7]",0))^2)</f>
        <v>3.5436986327846784</v>
      </c>
      <c r="J54">
        <f ca="1">SQRT((INDIRECT("R[-1]C[-9]",0) - INDIRECT("RC[-9]",0))^2 + (INDIRECT("R[-1]C[-7]",0) - INDIRECT("RC[-7]",0))^2)</f>
        <v>4.5773900860643284</v>
      </c>
      <c r="K54">
        <f ca="1">SQRT((INDIRECT("R[-1]C[-9]",0) - INDIRECT("RC[-9]",0))^2 + (INDIRECT("R[-1]C[-8]",0) - INDIRECT("RC[-8]",0))^2)</f>
        <v>4.7594642555649056</v>
      </c>
    </row>
    <row r="55" spans="1:11" x14ac:dyDescent="0.25">
      <c r="A55">
        <f>AxisValue(A51,7)</f>
        <v>-2</v>
      </c>
      <c r="B55">
        <f>AxisValue(B51,7)</f>
        <v>-1.22</v>
      </c>
      <c r="C55">
        <f>AxisValue(C51,7)</f>
        <v>3.5</v>
      </c>
      <c r="D55">
        <f ca="1">SQRT(INDIRECT("RC[-3]",0)^2 + INDIRECT("RC[-2]",0)^2 + INDIRECT("RC[-1]",0)^2)</f>
        <v>4.2116979948709519</v>
      </c>
      <c r="E55">
        <f ca="1">SQRT((INDIRECT("R[-1]C[-4]",0) - INDIRECT("RC[-4]",0))^2 + (INDIRECT("R[-1]C[-3]",0) - INDIRECT("RC[-3]",0))^2 + (INDIRECT("R[-1]C[-2]",0) - INDIRECT("RC[-2]",0))^2)</f>
        <v>10.04664122978421</v>
      </c>
      <c r="F55">
        <f t="shared" ca="1" si="12"/>
        <v>5.33</v>
      </c>
      <c r="G55">
        <f t="shared" ca="1" si="12"/>
        <v>7.55</v>
      </c>
      <c r="H55">
        <f t="shared" ca="1" si="12"/>
        <v>3.94</v>
      </c>
      <c r="I55">
        <f ca="1">SQRT((INDIRECT("R[-1]C[-8]",0) - INDIRECT("RC[-8]",0))^2 + (INDIRECT("R[-1]C[-7]",0) - INDIRECT("RC[-7]",0))^2)</f>
        <v>9.2418288233444361</v>
      </c>
      <c r="J55">
        <f ca="1">SQRT((INDIRECT("R[-1]C[-9]",0) - INDIRECT("RC[-9]",0))^2 + (INDIRECT("R[-1]C[-7]",0) - INDIRECT("RC[-7]",0))^2)</f>
        <v>6.6281596239076803</v>
      </c>
      <c r="K55">
        <f ca="1">SQRT((INDIRECT("R[-1]C[-9]",0) - INDIRECT("RC[-9]",0))^2 + (INDIRECT("R[-1]C[-8]",0) - INDIRECT("RC[-8]",0))^2)</f>
        <v>8.516225689822928</v>
      </c>
    </row>
    <row r="56" spans="1:11" x14ac:dyDescent="0.25">
      <c r="A56">
        <f>AxisValue(A51,8)</f>
        <v>2.11</v>
      </c>
      <c r="B56">
        <f>AxisValue(B51,8)</f>
        <v>-4.0090000000000003</v>
      </c>
      <c r="C56">
        <f>AxisValue(C51,8)</f>
        <v>-0.77</v>
      </c>
      <c r="D56">
        <f ca="1">SQRT(INDIRECT("RC[-3]",0)^2 + INDIRECT("RC[-2]",0)^2 + INDIRECT("RC[-1]",0)^2)</f>
        <v>4.5953325233327789</v>
      </c>
      <c r="E56">
        <f ca="1">SQRT((INDIRECT("R[-1]C[-4]",0) - INDIRECT("RC[-4]",0))^2 + (INDIRECT("R[-1]C[-3]",0) - INDIRECT("RC[-3]",0))^2 + (INDIRECT("R[-1]C[-2]",0) - INDIRECT("RC[-2]",0))^2)</f>
        <v>6.5500779384676022</v>
      </c>
      <c r="F56">
        <f t="shared" ca="1" si="12"/>
        <v>4.1099999999999994</v>
      </c>
      <c r="G56">
        <f t="shared" ca="1" si="12"/>
        <v>2.7890000000000006</v>
      </c>
      <c r="H56">
        <f t="shared" ca="1" si="12"/>
        <v>4.2699999999999996</v>
      </c>
      <c r="I56">
        <f ca="1">SQRT((INDIRECT("R[-1]C[-8]",0) - INDIRECT("RC[-8]",0))^2 + (INDIRECT("R[-1]C[-7]",0) - INDIRECT("RC[-7]",0))^2)</f>
        <v>4.9669528888444265</v>
      </c>
      <c r="J56">
        <f ca="1">SQRT((INDIRECT("R[-1]C[-9]",0) - INDIRECT("RC[-9]",0))^2 + (INDIRECT("R[-1]C[-7]",0) - INDIRECT("RC[-7]",0))^2)</f>
        <v>5.9266347955648486</v>
      </c>
      <c r="K56">
        <f ca="1">SQRT((INDIRECT("R[-1]C[-9]",0) - INDIRECT("RC[-9]",0))^2 + (INDIRECT("R[-1]C[-8]",0) - INDIRECT("RC[-8]",0))^2)</f>
        <v>5.1001393118227663</v>
      </c>
    </row>
    <row r="57" spans="1:11" x14ac:dyDescent="0.25">
      <c r="D57" t="s">
        <v>4</v>
      </c>
      <c r="E57">
        <f t="shared" ref="E57:K57" ca="1" si="13">(INDIRECT("R[-1]C",0) + INDIRECT("R[-2]C",0) + INDIRECT("R[-3]C",0) + INDIRECT("R[-4]C",0))</f>
        <v>35.564484887633753</v>
      </c>
      <c r="F57">
        <f t="shared" ca="1" si="13"/>
        <v>13.469999999999999</v>
      </c>
      <c r="G57">
        <f t="shared" ca="1" si="13"/>
        <v>20.509</v>
      </c>
      <c r="H57">
        <f t="shared" ca="1" si="13"/>
        <v>23.45</v>
      </c>
      <c r="I57">
        <f t="shared" ca="1" si="13"/>
        <v>25.442733916865691</v>
      </c>
      <c r="J57">
        <f t="shared" ca="1" si="13"/>
        <v>28.559345132744298</v>
      </c>
      <c r="K57">
        <f t="shared" ca="1" si="13"/>
        <v>31.938277413793536</v>
      </c>
    </row>
    <row r="58" spans="1:11" x14ac:dyDescent="0.25">
      <c r="A58" t="s">
        <v>18</v>
      </c>
    </row>
    <row r="59" spans="1:11" x14ac:dyDescent="0.25">
      <c r="A59" s="1" t="s">
        <v>22</v>
      </c>
      <c r="B59" s="1" t="s">
        <v>26</v>
      </c>
      <c r="C59" s="1" t="s">
        <v>23</v>
      </c>
      <c r="D59" t="s">
        <v>10</v>
      </c>
      <c r="E59" t="s">
        <v>14</v>
      </c>
      <c r="F59" t="s">
        <v>13</v>
      </c>
      <c r="G59" t="s">
        <v>12</v>
      </c>
      <c r="H59" t="s">
        <v>11</v>
      </c>
      <c r="I59" t="s">
        <v>15</v>
      </c>
      <c r="J59" t="s">
        <v>16</v>
      </c>
      <c r="K59" t="s">
        <v>17</v>
      </c>
    </row>
    <row r="60" spans="1:11" x14ac:dyDescent="0.25">
      <c r="A60">
        <f>AxisValue(A59,4)</f>
        <v>2.7</v>
      </c>
      <c r="B60">
        <f>AxisValue(B59,4)</f>
        <v>-1.5</v>
      </c>
      <c r="C60">
        <f>AxisValue(C59,4)</f>
        <v>7.8</v>
      </c>
      <c r="D60">
        <f ca="1">SQRT(INDIRECT("RC[-3]",0)^2 + INDIRECT("RC[-2]",0)^2 + INDIRECT("RC[-1]",0)^2)</f>
        <v>8.3892788724657379</v>
      </c>
    </row>
    <row r="61" spans="1:11" x14ac:dyDescent="0.25">
      <c r="A61">
        <f>AxisValue(A59,5)</f>
        <v>1</v>
      </c>
      <c r="B61">
        <f>AxisValue(B59,5)</f>
        <v>-9</v>
      </c>
      <c r="C61">
        <f>AxisValue(C59,5)</f>
        <v>-3.5</v>
      </c>
      <c r="D61">
        <f ca="1">SQRT(INDIRECT("RC[-3]",0)^2 + INDIRECT("RC[-2]",0)^2 + INDIRECT("RC[-1]",0)^2)</f>
        <v>9.7082439194737997</v>
      </c>
      <c r="E61">
        <f ca="1">SQRT((INDIRECT("R[-1]C[-4]",0) - INDIRECT("RC[-4]",0))^2 + (INDIRECT("R[-1]C[-3]",0) - INDIRECT("RC[-3]",0))^2 + (INDIRECT("R[-1]C[-2]",0) - INDIRECT("RC[-2]",0))^2)</f>
        <v>13.668577102244404</v>
      </c>
      <c r="F61">
        <f t="shared" ref="F61:H64" ca="1" si="14">SQRT((INDIRECT("R[-1]C[-5]",0) - INDIRECT("RC[-5]",0))^2)</f>
        <v>1.7000000000000002</v>
      </c>
      <c r="G61">
        <f t="shared" ca="1" si="14"/>
        <v>7.5</v>
      </c>
      <c r="H61">
        <f t="shared" ca="1" si="14"/>
        <v>11.3</v>
      </c>
      <c r="I61">
        <f ca="1">SQRT((INDIRECT("R[-1]C[-8]",0) - INDIRECT("RC[-8]",0))^2 + (INDIRECT("R[-1]C[-7]",0) - INDIRECT("RC[-7]",0))^2)</f>
        <v>7.6902535718921516</v>
      </c>
      <c r="J61">
        <f ca="1">SQRT((INDIRECT("R[-1]C[-9]",0) - INDIRECT("RC[-9]",0))^2 + (INDIRECT("R[-1]C[-7]",0) - INDIRECT("RC[-7]",0))^2)</f>
        <v>11.427160627207444</v>
      </c>
      <c r="K61">
        <f ca="1">SQRT((INDIRECT("R[-1]C[-9]",0) - INDIRECT("RC[-9]",0))^2 + (INDIRECT("R[-1]C[-8]",0) - INDIRECT("RC[-8]",0))^2)</f>
        <v>13.56244815658294</v>
      </c>
    </row>
    <row r="62" spans="1:11" x14ac:dyDescent="0.25">
      <c r="A62">
        <f>AxisValue(A59,6)</f>
        <v>3.33</v>
      </c>
      <c r="B62">
        <f>AxisValue(B59,6)</f>
        <v>-6.33</v>
      </c>
      <c r="C62">
        <f>AxisValue(C59,6)</f>
        <v>0.44</v>
      </c>
      <c r="D62">
        <f ca="1">SQRT(INDIRECT("RC[-3]",0)^2 + INDIRECT("RC[-2]",0)^2 + INDIRECT("RC[-1]",0)^2)</f>
        <v>7.1659891152582693</v>
      </c>
      <c r="E62">
        <f ca="1">SQRT((INDIRECT("R[-1]C[-4]",0) - INDIRECT("RC[-4]",0))^2 + (INDIRECT("R[-1]C[-3]",0) - INDIRECT("RC[-3]",0))^2 + (INDIRECT("R[-1]C[-2]",0) - INDIRECT("RC[-2]",0))^2)</f>
        <v>5.2991886171375331</v>
      </c>
      <c r="F62">
        <f t="shared" ca="1" si="14"/>
        <v>2.33</v>
      </c>
      <c r="G62">
        <f t="shared" ca="1" si="14"/>
        <v>2.67</v>
      </c>
      <c r="H62">
        <f t="shared" ca="1" si="14"/>
        <v>3.94</v>
      </c>
      <c r="I62">
        <f ca="1">SQRT((INDIRECT("R[-1]C[-8]",0) - INDIRECT("RC[-8]",0))^2 + (INDIRECT("R[-1]C[-7]",0) - INDIRECT("RC[-7]",0))^2)</f>
        <v>3.5436986327846784</v>
      </c>
      <c r="J62">
        <f ca="1">SQRT((INDIRECT("R[-1]C[-9]",0) - INDIRECT("RC[-9]",0))^2 + (INDIRECT("R[-1]C[-7]",0) - INDIRECT("RC[-7]",0))^2)</f>
        <v>4.5773900860643284</v>
      </c>
      <c r="K62">
        <f ca="1">SQRT((INDIRECT("R[-1]C[-9]",0) - INDIRECT("RC[-9]",0))^2 + (INDIRECT("R[-1]C[-8]",0) - INDIRECT("RC[-8]",0))^2)</f>
        <v>4.7594642555649056</v>
      </c>
    </row>
    <row r="63" spans="1:11" x14ac:dyDescent="0.25">
      <c r="A63">
        <f>AxisValue(A59,7)</f>
        <v>-2</v>
      </c>
      <c r="B63">
        <f>AxisValue(B59,7)</f>
        <v>1.22</v>
      </c>
      <c r="C63">
        <f>AxisValue(C59,7)</f>
        <v>-3.5</v>
      </c>
      <c r="D63">
        <f ca="1">SQRT(INDIRECT("RC[-3]",0)^2 + INDIRECT("RC[-2]",0)^2 + INDIRECT("RC[-1]",0)^2)</f>
        <v>4.2116979948709519</v>
      </c>
      <c r="E63">
        <f ca="1">SQRT((INDIRECT("R[-1]C[-4]",0) - INDIRECT("RC[-4]",0))^2 + (INDIRECT("R[-1]C[-3]",0) - INDIRECT("RC[-3]",0))^2 + (INDIRECT("R[-1]C[-2]",0) - INDIRECT("RC[-2]",0))^2)</f>
        <v>10.04664122978421</v>
      </c>
      <c r="F63">
        <f t="shared" ca="1" si="14"/>
        <v>5.33</v>
      </c>
      <c r="G63">
        <f t="shared" ca="1" si="14"/>
        <v>7.55</v>
      </c>
      <c r="H63">
        <f t="shared" ca="1" si="14"/>
        <v>3.94</v>
      </c>
      <c r="I63">
        <f ca="1">SQRT((INDIRECT("R[-1]C[-8]",0) - INDIRECT("RC[-8]",0))^2 + (INDIRECT("R[-1]C[-7]",0) - INDIRECT("RC[-7]",0))^2)</f>
        <v>9.2418288233444361</v>
      </c>
      <c r="J63">
        <f ca="1">SQRT((INDIRECT("R[-1]C[-9]",0) - INDIRECT("RC[-9]",0))^2 + (INDIRECT("R[-1]C[-7]",0) - INDIRECT("RC[-7]",0))^2)</f>
        <v>6.6281596239076803</v>
      </c>
      <c r="K63">
        <f ca="1">SQRT((INDIRECT("R[-1]C[-9]",0) - INDIRECT("RC[-9]",0))^2 + (INDIRECT("R[-1]C[-8]",0) - INDIRECT("RC[-8]",0))^2)</f>
        <v>8.516225689822928</v>
      </c>
    </row>
    <row r="64" spans="1:11" x14ac:dyDescent="0.25">
      <c r="A64">
        <f>AxisValue(A59,8)</f>
        <v>2.11</v>
      </c>
      <c r="B64">
        <f>AxisValue(B59,8)</f>
        <v>4.0090000000000003</v>
      </c>
      <c r="C64">
        <f>AxisValue(C59,8)</f>
        <v>0.77</v>
      </c>
      <c r="D64">
        <f ca="1">SQRT(INDIRECT("RC[-3]",0)^2 + INDIRECT("RC[-2]",0)^2 + INDIRECT("RC[-1]",0)^2)</f>
        <v>4.5953325233327789</v>
      </c>
      <c r="E64">
        <f ca="1">SQRT((INDIRECT("R[-1]C[-4]",0) - INDIRECT("RC[-4]",0))^2 + (INDIRECT("R[-1]C[-3]",0) - INDIRECT("RC[-3]",0))^2 + (INDIRECT("R[-1]C[-2]",0) - INDIRECT("RC[-2]",0))^2)</f>
        <v>6.5500779384676022</v>
      </c>
      <c r="F64">
        <f t="shared" ca="1" si="14"/>
        <v>4.1099999999999994</v>
      </c>
      <c r="G64">
        <f t="shared" ca="1" si="14"/>
        <v>2.7890000000000006</v>
      </c>
      <c r="H64">
        <f t="shared" ca="1" si="14"/>
        <v>4.2699999999999996</v>
      </c>
      <c r="I64">
        <f ca="1">SQRT((INDIRECT("R[-1]C[-8]",0) - INDIRECT("RC[-8]",0))^2 + (INDIRECT("R[-1]C[-7]",0) - INDIRECT("RC[-7]",0))^2)</f>
        <v>4.9669528888444265</v>
      </c>
      <c r="J64">
        <f ca="1">SQRT((INDIRECT("R[-1]C[-9]",0) - INDIRECT("RC[-9]",0))^2 + (INDIRECT("R[-1]C[-7]",0) - INDIRECT("RC[-7]",0))^2)</f>
        <v>5.9266347955648486</v>
      </c>
      <c r="K64">
        <f ca="1">SQRT((INDIRECT("R[-1]C[-9]",0) - INDIRECT("RC[-9]",0))^2 + (INDIRECT("R[-1]C[-8]",0) - INDIRECT("RC[-8]",0))^2)</f>
        <v>5.1001393118227663</v>
      </c>
    </row>
    <row r="65" spans="1:11" x14ac:dyDescent="0.25">
      <c r="D65" t="s">
        <v>4</v>
      </c>
      <c r="E65">
        <f t="shared" ref="E65:K65" ca="1" si="15">(INDIRECT("R[-1]C",0) + INDIRECT("R[-2]C",0) + INDIRECT("R[-3]C",0) + INDIRECT("R[-4]C",0))</f>
        <v>35.564484887633753</v>
      </c>
      <c r="F65">
        <f t="shared" ca="1" si="15"/>
        <v>13.469999999999999</v>
      </c>
      <c r="G65">
        <f t="shared" ca="1" si="15"/>
        <v>20.509</v>
      </c>
      <c r="H65">
        <f t="shared" ca="1" si="15"/>
        <v>23.45</v>
      </c>
      <c r="I65">
        <f t="shared" ca="1" si="15"/>
        <v>25.442733916865691</v>
      </c>
      <c r="J65">
        <f t="shared" ca="1" si="15"/>
        <v>28.559345132744298</v>
      </c>
      <c r="K65">
        <f t="shared" ca="1" si="15"/>
        <v>31.938277413793536</v>
      </c>
    </row>
    <row r="66" spans="1:11" x14ac:dyDescent="0.25">
      <c r="A66" t="s">
        <v>18</v>
      </c>
    </row>
    <row r="67" spans="1:11" x14ac:dyDescent="0.25">
      <c r="A67" s="1" t="s">
        <v>22</v>
      </c>
      <c r="B67" s="1" t="s">
        <v>26</v>
      </c>
      <c r="C67" s="1" t="s">
        <v>24</v>
      </c>
      <c r="D67" t="s">
        <v>10</v>
      </c>
      <c r="E67" t="s">
        <v>14</v>
      </c>
      <c r="F67" t="s">
        <v>13</v>
      </c>
      <c r="G67" t="s">
        <v>12</v>
      </c>
      <c r="H67" t="s">
        <v>11</v>
      </c>
      <c r="I67" t="s">
        <v>15</v>
      </c>
      <c r="J67" t="s">
        <v>16</v>
      </c>
      <c r="K67" t="s">
        <v>17</v>
      </c>
    </row>
    <row r="68" spans="1:11" x14ac:dyDescent="0.25">
      <c r="A68">
        <f>AxisValue(A67,4)</f>
        <v>2.7</v>
      </c>
      <c r="B68">
        <f>AxisValue(B67,4)</f>
        <v>-1.5</v>
      </c>
      <c r="C68">
        <f>AxisValue(C67,4)</f>
        <v>-7.8</v>
      </c>
      <c r="D68">
        <f ca="1">SQRT(INDIRECT("RC[-3]",0)^2 + INDIRECT("RC[-2]",0)^2 + INDIRECT("RC[-1]",0)^2)</f>
        <v>8.3892788724657379</v>
      </c>
    </row>
    <row r="69" spans="1:11" x14ac:dyDescent="0.25">
      <c r="A69">
        <f>AxisValue(A67,5)</f>
        <v>1</v>
      </c>
      <c r="B69">
        <f>AxisValue(B67,5)</f>
        <v>-9</v>
      </c>
      <c r="C69">
        <f>AxisValue(C67,5)</f>
        <v>3.5</v>
      </c>
      <c r="D69">
        <f ca="1">SQRT(INDIRECT("RC[-3]",0)^2 + INDIRECT("RC[-2]",0)^2 + INDIRECT("RC[-1]",0)^2)</f>
        <v>9.7082439194737997</v>
      </c>
      <c r="E69">
        <f ca="1">SQRT((INDIRECT("R[-1]C[-4]",0) - INDIRECT("RC[-4]",0))^2 + (INDIRECT("R[-1]C[-3]",0) - INDIRECT("RC[-3]",0))^2 + (INDIRECT("R[-1]C[-2]",0) - INDIRECT("RC[-2]",0))^2)</f>
        <v>13.668577102244404</v>
      </c>
      <c r="F69">
        <f t="shared" ref="F69:H72" ca="1" si="16">SQRT((INDIRECT("R[-1]C[-5]",0) - INDIRECT("RC[-5]",0))^2)</f>
        <v>1.7000000000000002</v>
      </c>
      <c r="G69">
        <f t="shared" ca="1" si="16"/>
        <v>7.5</v>
      </c>
      <c r="H69">
        <f t="shared" ca="1" si="16"/>
        <v>11.3</v>
      </c>
      <c r="I69">
        <f ca="1">SQRT((INDIRECT("R[-1]C[-8]",0) - INDIRECT("RC[-8]",0))^2 + (INDIRECT("R[-1]C[-7]",0) - INDIRECT("RC[-7]",0))^2)</f>
        <v>7.6902535718921516</v>
      </c>
      <c r="J69">
        <f ca="1">SQRT((INDIRECT("R[-1]C[-9]",0) - INDIRECT("RC[-9]",0))^2 + (INDIRECT("R[-1]C[-7]",0) - INDIRECT("RC[-7]",0))^2)</f>
        <v>11.427160627207444</v>
      </c>
      <c r="K69">
        <f ca="1">SQRT((INDIRECT("R[-1]C[-9]",0) - INDIRECT("RC[-9]",0))^2 + (INDIRECT("R[-1]C[-8]",0) - INDIRECT("RC[-8]",0))^2)</f>
        <v>13.56244815658294</v>
      </c>
    </row>
    <row r="70" spans="1:11" x14ac:dyDescent="0.25">
      <c r="A70">
        <f>AxisValue(A67,6)</f>
        <v>3.33</v>
      </c>
      <c r="B70">
        <f>AxisValue(B67,6)</f>
        <v>-6.33</v>
      </c>
      <c r="C70">
        <f>AxisValue(C67,6)</f>
        <v>-0.44</v>
      </c>
      <c r="D70">
        <f ca="1">SQRT(INDIRECT("RC[-3]",0)^2 + INDIRECT("RC[-2]",0)^2 + INDIRECT("RC[-1]",0)^2)</f>
        <v>7.1659891152582693</v>
      </c>
      <c r="E70">
        <f ca="1">SQRT((INDIRECT("R[-1]C[-4]",0) - INDIRECT("RC[-4]",0))^2 + (INDIRECT("R[-1]C[-3]",0) - INDIRECT("RC[-3]",0))^2 + (INDIRECT("R[-1]C[-2]",0) - INDIRECT("RC[-2]",0))^2)</f>
        <v>5.2991886171375331</v>
      </c>
      <c r="F70">
        <f t="shared" ca="1" si="16"/>
        <v>2.33</v>
      </c>
      <c r="G70">
        <f t="shared" ca="1" si="16"/>
        <v>2.67</v>
      </c>
      <c r="H70">
        <f t="shared" ca="1" si="16"/>
        <v>3.94</v>
      </c>
      <c r="I70">
        <f ca="1">SQRT((INDIRECT("R[-1]C[-8]",0) - INDIRECT("RC[-8]",0))^2 + (INDIRECT("R[-1]C[-7]",0) - INDIRECT("RC[-7]",0))^2)</f>
        <v>3.5436986327846784</v>
      </c>
      <c r="J70">
        <f ca="1">SQRT((INDIRECT("R[-1]C[-9]",0) - INDIRECT("RC[-9]",0))^2 + (INDIRECT("R[-1]C[-7]",0) - INDIRECT("RC[-7]",0))^2)</f>
        <v>4.5773900860643284</v>
      </c>
      <c r="K70">
        <f ca="1">SQRT((INDIRECT("R[-1]C[-9]",0) - INDIRECT("RC[-9]",0))^2 + (INDIRECT("R[-1]C[-8]",0) - INDIRECT("RC[-8]",0))^2)</f>
        <v>4.7594642555649056</v>
      </c>
    </row>
    <row r="71" spans="1:11" x14ac:dyDescent="0.25">
      <c r="A71">
        <f>AxisValue(A67,7)</f>
        <v>-2</v>
      </c>
      <c r="B71">
        <f>AxisValue(B67,7)</f>
        <v>1.22</v>
      </c>
      <c r="C71">
        <f>AxisValue(C67,7)</f>
        <v>3.5</v>
      </c>
      <c r="D71">
        <f ca="1">SQRT(INDIRECT("RC[-3]",0)^2 + INDIRECT("RC[-2]",0)^2 + INDIRECT("RC[-1]",0)^2)</f>
        <v>4.2116979948709519</v>
      </c>
      <c r="E71">
        <f ca="1">SQRT((INDIRECT("R[-1]C[-4]",0) - INDIRECT("RC[-4]",0))^2 + (INDIRECT("R[-1]C[-3]",0) - INDIRECT("RC[-3]",0))^2 + (INDIRECT("R[-1]C[-2]",0) - INDIRECT("RC[-2]",0))^2)</f>
        <v>10.04664122978421</v>
      </c>
      <c r="F71">
        <f t="shared" ca="1" si="16"/>
        <v>5.33</v>
      </c>
      <c r="G71">
        <f t="shared" ca="1" si="16"/>
        <v>7.55</v>
      </c>
      <c r="H71">
        <f t="shared" ca="1" si="16"/>
        <v>3.94</v>
      </c>
      <c r="I71">
        <f ca="1">SQRT((INDIRECT("R[-1]C[-8]",0) - INDIRECT("RC[-8]",0))^2 + (INDIRECT("R[-1]C[-7]",0) - INDIRECT("RC[-7]",0))^2)</f>
        <v>9.2418288233444361</v>
      </c>
      <c r="J71">
        <f ca="1">SQRT((INDIRECT("R[-1]C[-9]",0) - INDIRECT("RC[-9]",0))^2 + (INDIRECT("R[-1]C[-7]",0) - INDIRECT("RC[-7]",0))^2)</f>
        <v>6.6281596239076803</v>
      </c>
      <c r="K71">
        <f ca="1">SQRT((INDIRECT("R[-1]C[-9]",0) - INDIRECT("RC[-9]",0))^2 + (INDIRECT("R[-1]C[-8]",0) - INDIRECT("RC[-8]",0))^2)</f>
        <v>8.516225689822928</v>
      </c>
    </row>
    <row r="72" spans="1:11" x14ac:dyDescent="0.25">
      <c r="A72">
        <f>AxisValue(A67,8)</f>
        <v>2.11</v>
      </c>
      <c r="B72">
        <f>AxisValue(B67,8)</f>
        <v>4.0090000000000003</v>
      </c>
      <c r="C72">
        <f>AxisValue(C67,8)</f>
        <v>-0.77</v>
      </c>
      <c r="D72">
        <f ca="1">SQRT(INDIRECT("RC[-3]",0)^2 + INDIRECT("RC[-2]",0)^2 + INDIRECT("RC[-1]",0)^2)</f>
        <v>4.5953325233327789</v>
      </c>
      <c r="E72">
        <f ca="1">SQRT((INDIRECT("R[-1]C[-4]",0) - INDIRECT("RC[-4]",0))^2 + (INDIRECT("R[-1]C[-3]",0) - INDIRECT("RC[-3]",0))^2 + (INDIRECT("R[-1]C[-2]",0) - INDIRECT("RC[-2]",0))^2)</f>
        <v>6.5500779384676022</v>
      </c>
      <c r="F72">
        <f t="shared" ca="1" si="16"/>
        <v>4.1099999999999994</v>
      </c>
      <c r="G72">
        <f t="shared" ca="1" si="16"/>
        <v>2.7890000000000006</v>
      </c>
      <c r="H72">
        <f t="shared" ca="1" si="16"/>
        <v>4.2699999999999996</v>
      </c>
      <c r="I72">
        <f ca="1">SQRT((INDIRECT("R[-1]C[-8]",0) - INDIRECT("RC[-8]",0))^2 + (INDIRECT("R[-1]C[-7]",0) - INDIRECT("RC[-7]",0))^2)</f>
        <v>4.9669528888444265</v>
      </c>
      <c r="J72">
        <f ca="1">SQRT((INDIRECT("R[-1]C[-9]",0) - INDIRECT("RC[-9]",0))^2 + (INDIRECT("R[-1]C[-7]",0) - INDIRECT("RC[-7]",0))^2)</f>
        <v>5.9266347955648486</v>
      </c>
      <c r="K72">
        <f ca="1">SQRT((INDIRECT("R[-1]C[-9]",0) - INDIRECT("RC[-9]",0))^2 + (INDIRECT("R[-1]C[-8]",0) - INDIRECT("RC[-8]",0))^2)</f>
        <v>5.1001393118227663</v>
      </c>
    </row>
    <row r="73" spans="1:11" x14ac:dyDescent="0.25">
      <c r="D73" t="s">
        <v>4</v>
      </c>
      <c r="E73">
        <f t="shared" ref="E73:K73" ca="1" si="17">(INDIRECT("R[-1]C",0) + INDIRECT("R[-2]C",0) + INDIRECT("R[-3]C",0) + INDIRECT("R[-4]C",0))</f>
        <v>35.564484887633753</v>
      </c>
      <c r="F73">
        <f t="shared" ca="1" si="17"/>
        <v>13.469999999999999</v>
      </c>
      <c r="G73">
        <f t="shared" ca="1" si="17"/>
        <v>20.509</v>
      </c>
      <c r="H73">
        <f t="shared" ca="1" si="17"/>
        <v>23.45</v>
      </c>
      <c r="I73">
        <f t="shared" ca="1" si="17"/>
        <v>25.442733916865691</v>
      </c>
      <c r="J73">
        <f t="shared" ca="1" si="17"/>
        <v>28.559345132744298</v>
      </c>
      <c r="K73">
        <f t="shared" ca="1" si="17"/>
        <v>31.938277413793536</v>
      </c>
    </row>
    <row r="74" spans="1:11" x14ac:dyDescent="0.25">
      <c r="A74" t="s">
        <v>18</v>
      </c>
    </row>
    <row r="75" spans="1:11" x14ac:dyDescent="0.25">
      <c r="A75" s="1" t="s">
        <v>25</v>
      </c>
      <c r="B75" s="1" t="s">
        <v>21</v>
      </c>
      <c r="C75" s="1" t="s">
        <v>23</v>
      </c>
      <c r="D75" t="s">
        <v>10</v>
      </c>
      <c r="E75" t="s">
        <v>14</v>
      </c>
      <c r="F75" t="s">
        <v>13</v>
      </c>
      <c r="G75" t="s">
        <v>12</v>
      </c>
      <c r="H75" t="s">
        <v>11</v>
      </c>
      <c r="I75" t="s">
        <v>15</v>
      </c>
      <c r="J75" t="s">
        <v>16</v>
      </c>
      <c r="K75" t="s">
        <v>17</v>
      </c>
    </row>
    <row r="76" spans="1:11" x14ac:dyDescent="0.25">
      <c r="A76">
        <f>AxisValue(A75,4)</f>
        <v>-2.7</v>
      </c>
      <c r="B76">
        <f>AxisValue(B75,4)</f>
        <v>1.5</v>
      </c>
      <c r="C76">
        <f>AxisValue(C75,4)</f>
        <v>7.8</v>
      </c>
      <c r="D76">
        <f ca="1">SQRT(INDIRECT("RC[-3]",0)^2 + INDIRECT("RC[-2]",0)^2 + INDIRECT("RC[-1]",0)^2)</f>
        <v>8.3892788724657379</v>
      </c>
    </row>
    <row r="77" spans="1:11" x14ac:dyDescent="0.25">
      <c r="A77">
        <f>AxisValue(A75,5)</f>
        <v>-1</v>
      </c>
      <c r="B77">
        <f>AxisValue(B75,5)</f>
        <v>9</v>
      </c>
      <c r="C77">
        <f>AxisValue(C75,5)</f>
        <v>-3.5</v>
      </c>
      <c r="D77">
        <f ca="1">SQRT(INDIRECT("RC[-3]",0)^2 + INDIRECT("RC[-2]",0)^2 + INDIRECT("RC[-1]",0)^2)</f>
        <v>9.7082439194737997</v>
      </c>
      <c r="E77">
        <f ca="1">SQRT((INDIRECT("R[-1]C[-4]",0) - INDIRECT("RC[-4]",0))^2 + (INDIRECT("R[-1]C[-3]",0) - INDIRECT("RC[-3]",0))^2 + (INDIRECT("R[-1]C[-2]",0) - INDIRECT("RC[-2]",0))^2)</f>
        <v>13.668577102244404</v>
      </c>
      <c r="F77">
        <f t="shared" ref="F77:H80" ca="1" si="18">SQRT((INDIRECT("R[-1]C[-5]",0) - INDIRECT("RC[-5]",0))^2)</f>
        <v>1.7000000000000002</v>
      </c>
      <c r="G77">
        <f t="shared" ca="1" si="18"/>
        <v>7.5</v>
      </c>
      <c r="H77">
        <f t="shared" ca="1" si="18"/>
        <v>11.3</v>
      </c>
      <c r="I77">
        <f ca="1">SQRT((INDIRECT("R[-1]C[-8]",0) - INDIRECT("RC[-8]",0))^2 + (INDIRECT("R[-1]C[-7]",0) - INDIRECT("RC[-7]",0))^2)</f>
        <v>7.6902535718921516</v>
      </c>
      <c r="J77">
        <f ca="1">SQRT((INDIRECT("R[-1]C[-9]",0) - INDIRECT("RC[-9]",0))^2 + (INDIRECT("R[-1]C[-7]",0) - INDIRECT("RC[-7]",0))^2)</f>
        <v>11.427160627207444</v>
      </c>
      <c r="K77">
        <f ca="1">SQRT((INDIRECT("R[-1]C[-9]",0) - INDIRECT("RC[-9]",0))^2 + (INDIRECT("R[-1]C[-8]",0) - INDIRECT("RC[-8]",0))^2)</f>
        <v>13.56244815658294</v>
      </c>
    </row>
    <row r="78" spans="1:11" x14ac:dyDescent="0.25">
      <c r="A78">
        <f>AxisValue(A75,6)</f>
        <v>-3.33</v>
      </c>
      <c r="B78">
        <f>AxisValue(B75,6)</f>
        <v>6.33</v>
      </c>
      <c r="C78">
        <f>AxisValue(C75,6)</f>
        <v>0.44</v>
      </c>
      <c r="D78">
        <f ca="1">SQRT(INDIRECT("RC[-3]",0)^2 + INDIRECT("RC[-2]",0)^2 + INDIRECT("RC[-1]",0)^2)</f>
        <v>7.1659891152582693</v>
      </c>
      <c r="E78">
        <f ca="1">SQRT((INDIRECT("R[-1]C[-4]",0) - INDIRECT("RC[-4]",0))^2 + (INDIRECT("R[-1]C[-3]",0) - INDIRECT("RC[-3]",0))^2 + (INDIRECT("R[-1]C[-2]",0) - INDIRECT("RC[-2]",0))^2)</f>
        <v>5.2991886171375331</v>
      </c>
      <c r="F78">
        <f t="shared" ca="1" si="18"/>
        <v>2.33</v>
      </c>
      <c r="G78">
        <f t="shared" ca="1" si="18"/>
        <v>2.67</v>
      </c>
      <c r="H78">
        <f t="shared" ca="1" si="18"/>
        <v>3.94</v>
      </c>
      <c r="I78">
        <f ca="1">SQRT((INDIRECT("R[-1]C[-8]",0) - INDIRECT("RC[-8]",0))^2 + (INDIRECT("R[-1]C[-7]",0) - INDIRECT("RC[-7]",0))^2)</f>
        <v>3.5436986327846784</v>
      </c>
      <c r="J78">
        <f ca="1">SQRT((INDIRECT("R[-1]C[-9]",0) - INDIRECT("RC[-9]",0))^2 + (INDIRECT("R[-1]C[-7]",0) - INDIRECT("RC[-7]",0))^2)</f>
        <v>4.5773900860643284</v>
      </c>
      <c r="K78">
        <f ca="1">SQRT((INDIRECT("R[-1]C[-9]",0) - INDIRECT("RC[-9]",0))^2 + (INDIRECT("R[-1]C[-8]",0) - INDIRECT("RC[-8]",0))^2)</f>
        <v>4.7594642555649056</v>
      </c>
    </row>
    <row r="79" spans="1:11" x14ac:dyDescent="0.25">
      <c r="A79">
        <f>AxisValue(A75,7)</f>
        <v>2</v>
      </c>
      <c r="B79">
        <f>AxisValue(B75,7)</f>
        <v>-1.22</v>
      </c>
      <c r="C79">
        <f>AxisValue(C75,7)</f>
        <v>-3.5</v>
      </c>
      <c r="D79">
        <f ca="1">SQRT(INDIRECT("RC[-3]",0)^2 + INDIRECT("RC[-2]",0)^2 + INDIRECT("RC[-1]",0)^2)</f>
        <v>4.2116979948709519</v>
      </c>
      <c r="E79">
        <f ca="1">SQRT((INDIRECT("R[-1]C[-4]",0) - INDIRECT("RC[-4]",0))^2 + (INDIRECT("R[-1]C[-3]",0) - INDIRECT("RC[-3]",0))^2 + (INDIRECT("R[-1]C[-2]",0) - INDIRECT("RC[-2]",0))^2)</f>
        <v>10.04664122978421</v>
      </c>
      <c r="F79">
        <f t="shared" ca="1" si="18"/>
        <v>5.33</v>
      </c>
      <c r="G79">
        <f t="shared" ca="1" si="18"/>
        <v>7.55</v>
      </c>
      <c r="H79">
        <f t="shared" ca="1" si="18"/>
        <v>3.94</v>
      </c>
      <c r="I79">
        <f ca="1">SQRT((INDIRECT("R[-1]C[-8]",0) - INDIRECT("RC[-8]",0))^2 + (INDIRECT("R[-1]C[-7]",0) - INDIRECT("RC[-7]",0))^2)</f>
        <v>9.2418288233444361</v>
      </c>
      <c r="J79">
        <f ca="1">SQRT((INDIRECT("R[-1]C[-9]",0) - INDIRECT("RC[-9]",0))^2 + (INDIRECT("R[-1]C[-7]",0) - INDIRECT("RC[-7]",0))^2)</f>
        <v>6.6281596239076803</v>
      </c>
      <c r="K79">
        <f ca="1">SQRT((INDIRECT("R[-1]C[-9]",0) - INDIRECT("RC[-9]",0))^2 + (INDIRECT("R[-1]C[-8]",0) - INDIRECT("RC[-8]",0))^2)</f>
        <v>8.516225689822928</v>
      </c>
    </row>
    <row r="80" spans="1:11" x14ac:dyDescent="0.25">
      <c r="A80">
        <f>AxisValue(A75,8)</f>
        <v>-2.11</v>
      </c>
      <c r="B80">
        <f>AxisValue(B75,8)</f>
        <v>-4.0090000000000003</v>
      </c>
      <c r="C80">
        <f>AxisValue(C75,8)</f>
        <v>0.77</v>
      </c>
      <c r="D80">
        <f ca="1">SQRT(INDIRECT("RC[-3]",0)^2 + INDIRECT("RC[-2]",0)^2 + INDIRECT("RC[-1]",0)^2)</f>
        <v>4.5953325233327789</v>
      </c>
      <c r="E80">
        <f ca="1">SQRT((INDIRECT("R[-1]C[-4]",0) - INDIRECT("RC[-4]",0))^2 + (INDIRECT("R[-1]C[-3]",0) - INDIRECT("RC[-3]",0))^2 + (INDIRECT("R[-1]C[-2]",0) - INDIRECT("RC[-2]",0))^2)</f>
        <v>6.5500779384676022</v>
      </c>
      <c r="F80">
        <f t="shared" ca="1" si="18"/>
        <v>4.1099999999999994</v>
      </c>
      <c r="G80">
        <f t="shared" ca="1" si="18"/>
        <v>2.7890000000000006</v>
      </c>
      <c r="H80">
        <f t="shared" ca="1" si="18"/>
        <v>4.2699999999999996</v>
      </c>
      <c r="I80">
        <f ca="1">SQRT((INDIRECT("R[-1]C[-8]",0) - INDIRECT("RC[-8]",0))^2 + (INDIRECT("R[-1]C[-7]",0) - INDIRECT("RC[-7]",0))^2)</f>
        <v>4.9669528888444265</v>
      </c>
      <c r="J80">
        <f ca="1">SQRT((INDIRECT("R[-1]C[-9]",0) - INDIRECT("RC[-9]",0))^2 + (INDIRECT("R[-1]C[-7]",0) - INDIRECT("RC[-7]",0))^2)</f>
        <v>5.9266347955648486</v>
      </c>
      <c r="K80">
        <f ca="1">SQRT((INDIRECT("R[-1]C[-9]",0) - INDIRECT("RC[-9]",0))^2 + (INDIRECT("R[-1]C[-8]",0) - INDIRECT("RC[-8]",0))^2)</f>
        <v>5.1001393118227663</v>
      </c>
    </row>
    <row r="81" spans="1:11" x14ac:dyDescent="0.25">
      <c r="D81" t="s">
        <v>4</v>
      </c>
      <c r="E81">
        <f t="shared" ref="E81:K81" ca="1" si="19">(INDIRECT("R[-1]C",0) + INDIRECT("R[-2]C",0) + INDIRECT("R[-3]C",0) + INDIRECT("R[-4]C",0))</f>
        <v>35.564484887633753</v>
      </c>
      <c r="F81">
        <f t="shared" ca="1" si="19"/>
        <v>13.469999999999999</v>
      </c>
      <c r="G81">
        <f t="shared" ca="1" si="19"/>
        <v>20.509</v>
      </c>
      <c r="H81">
        <f t="shared" ca="1" si="19"/>
        <v>23.45</v>
      </c>
      <c r="I81">
        <f t="shared" ca="1" si="19"/>
        <v>25.442733916865691</v>
      </c>
      <c r="J81">
        <f t="shared" ca="1" si="19"/>
        <v>28.559345132744298</v>
      </c>
      <c r="K81">
        <f t="shared" ca="1" si="19"/>
        <v>31.938277413793536</v>
      </c>
    </row>
    <row r="82" spans="1:11" x14ac:dyDescent="0.25">
      <c r="A82" t="s">
        <v>18</v>
      </c>
    </row>
    <row r="83" spans="1:11" x14ac:dyDescent="0.25">
      <c r="A83" s="1" t="s">
        <v>25</v>
      </c>
      <c r="B83" s="1" t="s">
        <v>21</v>
      </c>
      <c r="C83" s="1" t="s">
        <v>24</v>
      </c>
      <c r="D83" t="s">
        <v>10</v>
      </c>
      <c r="E83" t="s">
        <v>14</v>
      </c>
      <c r="F83" t="s">
        <v>13</v>
      </c>
      <c r="G83" t="s">
        <v>12</v>
      </c>
      <c r="H83" t="s">
        <v>11</v>
      </c>
      <c r="I83" t="s">
        <v>15</v>
      </c>
      <c r="J83" t="s">
        <v>16</v>
      </c>
      <c r="K83" t="s">
        <v>17</v>
      </c>
    </row>
    <row r="84" spans="1:11" x14ac:dyDescent="0.25">
      <c r="A84">
        <f>AxisValue(A83,4)</f>
        <v>-2.7</v>
      </c>
      <c r="B84">
        <f>AxisValue(B83,4)</f>
        <v>1.5</v>
      </c>
      <c r="C84">
        <f>AxisValue(C83,4)</f>
        <v>-7.8</v>
      </c>
      <c r="D84">
        <f ca="1">SQRT(INDIRECT("RC[-3]",0)^2 + INDIRECT("RC[-2]",0)^2 + INDIRECT("RC[-1]",0)^2)</f>
        <v>8.3892788724657379</v>
      </c>
    </row>
    <row r="85" spans="1:11" x14ac:dyDescent="0.25">
      <c r="A85">
        <f>AxisValue(A83,5)</f>
        <v>-1</v>
      </c>
      <c r="B85">
        <f>AxisValue(B83,5)</f>
        <v>9</v>
      </c>
      <c r="C85">
        <f>AxisValue(C83,5)</f>
        <v>3.5</v>
      </c>
      <c r="D85">
        <f ca="1">SQRT(INDIRECT("RC[-3]",0)^2 + INDIRECT("RC[-2]",0)^2 + INDIRECT("RC[-1]",0)^2)</f>
        <v>9.7082439194737997</v>
      </c>
      <c r="E85">
        <f ca="1">SQRT((INDIRECT("R[-1]C[-4]",0) - INDIRECT("RC[-4]",0))^2 + (INDIRECT("R[-1]C[-3]",0) - INDIRECT("RC[-3]",0))^2 + (INDIRECT("R[-1]C[-2]",0) - INDIRECT("RC[-2]",0))^2)</f>
        <v>13.668577102244404</v>
      </c>
      <c r="F85">
        <f t="shared" ref="F85:H88" ca="1" si="20">SQRT((INDIRECT("R[-1]C[-5]",0) - INDIRECT("RC[-5]",0))^2)</f>
        <v>1.7000000000000002</v>
      </c>
      <c r="G85">
        <f t="shared" ca="1" si="20"/>
        <v>7.5</v>
      </c>
      <c r="H85">
        <f t="shared" ca="1" si="20"/>
        <v>11.3</v>
      </c>
      <c r="I85">
        <f ca="1">SQRT((INDIRECT("R[-1]C[-8]",0) - INDIRECT("RC[-8]",0))^2 + (INDIRECT("R[-1]C[-7]",0) - INDIRECT("RC[-7]",0))^2)</f>
        <v>7.6902535718921516</v>
      </c>
      <c r="J85">
        <f ca="1">SQRT((INDIRECT("R[-1]C[-9]",0) - INDIRECT("RC[-9]",0))^2 + (INDIRECT("R[-1]C[-7]",0) - INDIRECT("RC[-7]",0))^2)</f>
        <v>11.427160627207444</v>
      </c>
      <c r="K85">
        <f ca="1">SQRT((INDIRECT("R[-1]C[-9]",0) - INDIRECT("RC[-9]",0))^2 + (INDIRECT("R[-1]C[-8]",0) - INDIRECT("RC[-8]",0))^2)</f>
        <v>13.56244815658294</v>
      </c>
    </row>
    <row r="86" spans="1:11" x14ac:dyDescent="0.25">
      <c r="A86">
        <f>AxisValue(A83,6)</f>
        <v>-3.33</v>
      </c>
      <c r="B86">
        <f>AxisValue(B83,6)</f>
        <v>6.33</v>
      </c>
      <c r="C86">
        <f>AxisValue(C83,6)</f>
        <v>-0.44</v>
      </c>
      <c r="D86">
        <f ca="1">SQRT(INDIRECT("RC[-3]",0)^2 + INDIRECT("RC[-2]",0)^2 + INDIRECT("RC[-1]",0)^2)</f>
        <v>7.1659891152582693</v>
      </c>
      <c r="E86">
        <f ca="1">SQRT((INDIRECT("R[-1]C[-4]",0) - INDIRECT("RC[-4]",0))^2 + (INDIRECT("R[-1]C[-3]",0) - INDIRECT("RC[-3]",0))^2 + (INDIRECT("R[-1]C[-2]",0) - INDIRECT("RC[-2]",0))^2)</f>
        <v>5.2991886171375331</v>
      </c>
      <c r="F86">
        <f t="shared" ca="1" si="20"/>
        <v>2.33</v>
      </c>
      <c r="G86">
        <f t="shared" ca="1" si="20"/>
        <v>2.67</v>
      </c>
      <c r="H86">
        <f t="shared" ca="1" si="20"/>
        <v>3.94</v>
      </c>
      <c r="I86">
        <f ca="1">SQRT((INDIRECT("R[-1]C[-8]",0) - INDIRECT("RC[-8]",0))^2 + (INDIRECT("R[-1]C[-7]",0) - INDIRECT("RC[-7]",0))^2)</f>
        <v>3.5436986327846784</v>
      </c>
      <c r="J86">
        <f ca="1">SQRT((INDIRECT("R[-1]C[-9]",0) - INDIRECT("RC[-9]",0))^2 + (INDIRECT("R[-1]C[-7]",0) - INDIRECT("RC[-7]",0))^2)</f>
        <v>4.5773900860643284</v>
      </c>
      <c r="K86">
        <f ca="1">SQRT((INDIRECT("R[-1]C[-9]",0) - INDIRECT("RC[-9]",0))^2 + (INDIRECT("R[-1]C[-8]",0) - INDIRECT("RC[-8]",0))^2)</f>
        <v>4.7594642555649056</v>
      </c>
    </row>
    <row r="87" spans="1:11" x14ac:dyDescent="0.25">
      <c r="A87">
        <f>AxisValue(A83,7)</f>
        <v>2</v>
      </c>
      <c r="B87">
        <f>AxisValue(B83,7)</f>
        <v>-1.22</v>
      </c>
      <c r="C87">
        <f>AxisValue(C83,7)</f>
        <v>3.5</v>
      </c>
      <c r="D87">
        <f ca="1">SQRT(INDIRECT("RC[-3]",0)^2 + INDIRECT("RC[-2]",0)^2 + INDIRECT("RC[-1]",0)^2)</f>
        <v>4.2116979948709519</v>
      </c>
      <c r="E87">
        <f ca="1">SQRT((INDIRECT("R[-1]C[-4]",0) - INDIRECT("RC[-4]",0))^2 + (INDIRECT("R[-1]C[-3]",0) - INDIRECT("RC[-3]",0))^2 + (INDIRECT("R[-1]C[-2]",0) - INDIRECT("RC[-2]",0))^2)</f>
        <v>10.04664122978421</v>
      </c>
      <c r="F87">
        <f t="shared" ca="1" si="20"/>
        <v>5.33</v>
      </c>
      <c r="G87">
        <f t="shared" ca="1" si="20"/>
        <v>7.55</v>
      </c>
      <c r="H87">
        <f t="shared" ca="1" si="20"/>
        <v>3.94</v>
      </c>
      <c r="I87">
        <f ca="1">SQRT((INDIRECT("R[-1]C[-8]",0) - INDIRECT("RC[-8]",0))^2 + (INDIRECT("R[-1]C[-7]",0) - INDIRECT("RC[-7]",0))^2)</f>
        <v>9.2418288233444361</v>
      </c>
      <c r="J87">
        <f ca="1">SQRT((INDIRECT("R[-1]C[-9]",0) - INDIRECT("RC[-9]",0))^2 + (INDIRECT("R[-1]C[-7]",0) - INDIRECT("RC[-7]",0))^2)</f>
        <v>6.6281596239076803</v>
      </c>
      <c r="K87">
        <f ca="1">SQRT((INDIRECT("R[-1]C[-9]",0) - INDIRECT("RC[-9]",0))^2 + (INDIRECT("R[-1]C[-8]",0) - INDIRECT("RC[-8]",0))^2)</f>
        <v>8.516225689822928</v>
      </c>
    </row>
    <row r="88" spans="1:11" x14ac:dyDescent="0.25">
      <c r="A88">
        <f>AxisValue(A83,8)</f>
        <v>-2.11</v>
      </c>
      <c r="B88">
        <f>AxisValue(B83,8)</f>
        <v>-4.0090000000000003</v>
      </c>
      <c r="C88">
        <f>AxisValue(C83,8)</f>
        <v>-0.77</v>
      </c>
      <c r="D88">
        <f ca="1">SQRT(INDIRECT("RC[-3]",0)^2 + INDIRECT("RC[-2]",0)^2 + INDIRECT("RC[-1]",0)^2)</f>
        <v>4.5953325233327789</v>
      </c>
      <c r="E88">
        <f ca="1">SQRT((INDIRECT("R[-1]C[-4]",0) - INDIRECT("RC[-4]",0))^2 + (INDIRECT("R[-1]C[-3]",0) - INDIRECT("RC[-3]",0))^2 + (INDIRECT("R[-1]C[-2]",0) - INDIRECT("RC[-2]",0))^2)</f>
        <v>6.5500779384676022</v>
      </c>
      <c r="F88">
        <f t="shared" ca="1" si="20"/>
        <v>4.1099999999999994</v>
      </c>
      <c r="G88">
        <f t="shared" ca="1" si="20"/>
        <v>2.7890000000000006</v>
      </c>
      <c r="H88">
        <f t="shared" ca="1" si="20"/>
        <v>4.2699999999999996</v>
      </c>
      <c r="I88">
        <f ca="1">SQRT((INDIRECT("R[-1]C[-8]",0) - INDIRECT("RC[-8]",0))^2 + (INDIRECT("R[-1]C[-7]",0) - INDIRECT("RC[-7]",0))^2)</f>
        <v>4.9669528888444265</v>
      </c>
      <c r="J88">
        <f ca="1">SQRT((INDIRECT("R[-1]C[-9]",0) - INDIRECT("RC[-9]",0))^2 + (INDIRECT("R[-1]C[-7]",0) - INDIRECT("RC[-7]",0))^2)</f>
        <v>5.9266347955648486</v>
      </c>
      <c r="K88">
        <f ca="1">SQRT((INDIRECT("R[-1]C[-9]",0) - INDIRECT("RC[-9]",0))^2 + (INDIRECT("R[-1]C[-8]",0) - INDIRECT("RC[-8]",0))^2)</f>
        <v>5.1001393118227663</v>
      </c>
    </row>
    <row r="89" spans="1:11" x14ac:dyDescent="0.25">
      <c r="D89" t="s">
        <v>4</v>
      </c>
      <c r="E89">
        <f t="shared" ref="E89:K89" ca="1" si="21">(INDIRECT("R[-1]C",0) + INDIRECT("R[-2]C",0) + INDIRECT("R[-3]C",0) + INDIRECT("R[-4]C",0))</f>
        <v>35.564484887633753</v>
      </c>
      <c r="F89">
        <f t="shared" ca="1" si="21"/>
        <v>13.469999999999999</v>
      </c>
      <c r="G89">
        <f t="shared" ca="1" si="21"/>
        <v>20.509</v>
      </c>
      <c r="H89">
        <f t="shared" ca="1" si="21"/>
        <v>23.45</v>
      </c>
      <c r="I89">
        <f t="shared" ca="1" si="21"/>
        <v>25.442733916865691</v>
      </c>
      <c r="J89">
        <f t="shared" ca="1" si="21"/>
        <v>28.559345132744298</v>
      </c>
      <c r="K89">
        <f t="shared" ca="1" si="21"/>
        <v>31.938277413793536</v>
      </c>
    </row>
    <row r="90" spans="1:11" x14ac:dyDescent="0.25">
      <c r="A90" t="s">
        <v>18</v>
      </c>
    </row>
    <row r="91" spans="1:11" x14ac:dyDescent="0.25">
      <c r="A91" s="1" t="s">
        <v>25</v>
      </c>
      <c r="B91" s="1" t="s">
        <v>26</v>
      </c>
      <c r="C91" s="1" t="s">
        <v>23</v>
      </c>
      <c r="D91" t="s">
        <v>10</v>
      </c>
      <c r="E91" t="s">
        <v>14</v>
      </c>
      <c r="F91" t="s">
        <v>13</v>
      </c>
      <c r="G91" t="s">
        <v>12</v>
      </c>
      <c r="H91" t="s">
        <v>11</v>
      </c>
      <c r="I91" t="s">
        <v>15</v>
      </c>
      <c r="J91" t="s">
        <v>16</v>
      </c>
      <c r="K91" t="s">
        <v>17</v>
      </c>
    </row>
    <row r="92" spans="1:11" x14ac:dyDescent="0.25">
      <c r="A92">
        <f>AxisValue(A91,4)</f>
        <v>-2.7</v>
      </c>
      <c r="B92">
        <f>AxisValue(B91,4)</f>
        <v>-1.5</v>
      </c>
      <c r="C92">
        <f>AxisValue(C91,4)</f>
        <v>7.8</v>
      </c>
      <c r="D92">
        <f ca="1">SQRT(INDIRECT("RC[-3]",0)^2 + INDIRECT("RC[-2]",0)^2 + INDIRECT("RC[-1]",0)^2)</f>
        <v>8.3892788724657379</v>
      </c>
    </row>
    <row r="93" spans="1:11" x14ac:dyDescent="0.25">
      <c r="A93">
        <f>AxisValue(A91,5)</f>
        <v>-1</v>
      </c>
      <c r="B93">
        <f>AxisValue(B91,5)</f>
        <v>-9</v>
      </c>
      <c r="C93">
        <f>AxisValue(C91,5)</f>
        <v>-3.5</v>
      </c>
      <c r="D93">
        <f ca="1">SQRT(INDIRECT("RC[-3]",0)^2 + INDIRECT("RC[-2]",0)^2 + INDIRECT("RC[-1]",0)^2)</f>
        <v>9.7082439194737997</v>
      </c>
      <c r="E93">
        <f ca="1">SQRT((INDIRECT("R[-1]C[-4]",0) - INDIRECT("RC[-4]",0))^2 + (INDIRECT("R[-1]C[-3]",0) - INDIRECT("RC[-3]",0))^2 + (INDIRECT("R[-1]C[-2]",0) - INDIRECT("RC[-2]",0))^2)</f>
        <v>13.668577102244404</v>
      </c>
      <c r="F93">
        <f t="shared" ref="F93:H96" ca="1" si="22">SQRT((INDIRECT("R[-1]C[-5]",0) - INDIRECT("RC[-5]",0))^2)</f>
        <v>1.7000000000000002</v>
      </c>
      <c r="G93">
        <f t="shared" ca="1" si="22"/>
        <v>7.5</v>
      </c>
      <c r="H93">
        <f t="shared" ca="1" si="22"/>
        <v>11.3</v>
      </c>
      <c r="I93">
        <f ca="1">SQRT((INDIRECT("R[-1]C[-8]",0) - INDIRECT("RC[-8]",0))^2 + (INDIRECT("R[-1]C[-7]",0) - INDIRECT("RC[-7]",0))^2)</f>
        <v>7.6902535718921516</v>
      </c>
      <c r="J93">
        <f ca="1">SQRT((INDIRECT("R[-1]C[-9]",0) - INDIRECT("RC[-9]",0))^2 + (INDIRECT("R[-1]C[-7]",0) - INDIRECT("RC[-7]",0))^2)</f>
        <v>11.427160627207444</v>
      </c>
      <c r="K93">
        <f ca="1">SQRT((INDIRECT("R[-1]C[-9]",0) - INDIRECT("RC[-9]",0))^2 + (INDIRECT("R[-1]C[-8]",0) - INDIRECT("RC[-8]",0))^2)</f>
        <v>13.56244815658294</v>
      </c>
    </row>
    <row r="94" spans="1:11" x14ac:dyDescent="0.25">
      <c r="A94">
        <f>AxisValue(A91,6)</f>
        <v>-3.33</v>
      </c>
      <c r="B94">
        <f>AxisValue(B91,6)</f>
        <v>-6.33</v>
      </c>
      <c r="C94">
        <f>AxisValue(C91,6)</f>
        <v>0.44</v>
      </c>
      <c r="D94">
        <f ca="1">SQRT(INDIRECT("RC[-3]",0)^2 + INDIRECT("RC[-2]",0)^2 + INDIRECT("RC[-1]",0)^2)</f>
        <v>7.1659891152582693</v>
      </c>
      <c r="E94">
        <f ca="1">SQRT((INDIRECT("R[-1]C[-4]",0) - INDIRECT("RC[-4]",0))^2 + (INDIRECT("R[-1]C[-3]",0) - INDIRECT("RC[-3]",0))^2 + (INDIRECT("R[-1]C[-2]",0) - INDIRECT("RC[-2]",0))^2)</f>
        <v>5.2991886171375331</v>
      </c>
      <c r="F94">
        <f t="shared" ca="1" si="22"/>
        <v>2.33</v>
      </c>
      <c r="G94">
        <f t="shared" ca="1" si="22"/>
        <v>2.67</v>
      </c>
      <c r="H94">
        <f t="shared" ca="1" si="22"/>
        <v>3.94</v>
      </c>
      <c r="I94">
        <f ca="1">SQRT((INDIRECT("R[-1]C[-8]",0) - INDIRECT("RC[-8]",0))^2 + (INDIRECT("R[-1]C[-7]",0) - INDIRECT("RC[-7]",0))^2)</f>
        <v>3.5436986327846784</v>
      </c>
      <c r="J94">
        <f ca="1">SQRT((INDIRECT("R[-1]C[-9]",0) - INDIRECT("RC[-9]",0))^2 + (INDIRECT("R[-1]C[-7]",0) - INDIRECT("RC[-7]",0))^2)</f>
        <v>4.5773900860643284</v>
      </c>
      <c r="K94">
        <f ca="1">SQRT((INDIRECT("R[-1]C[-9]",0) - INDIRECT("RC[-9]",0))^2 + (INDIRECT("R[-1]C[-8]",0) - INDIRECT("RC[-8]",0))^2)</f>
        <v>4.7594642555649056</v>
      </c>
    </row>
    <row r="95" spans="1:11" x14ac:dyDescent="0.25">
      <c r="A95">
        <f>AxisValue(A91,7)</f>
        <v>2</v>
      </c>
      <c r="B95">
        <f>AxisValue(B91,7)</f>
        <v>1.22</v>
      </c>
      <c r="C95">
        <f>AxisValue(C91,7)</f>
        <v>-3.5</v>
      </c>
      <c r="D95">
        <f ca="1">SQRT(INDIRECT("RC[-3]",0)^2 + INDIRECT("RC[-2]",0)^2 + INDIRECT("RC[-1]",0)^2)</f>
        <v>4.2116979948709519</v>
      </c>
      <c r="E95">
        <f ca="1">SQRT((INDIRECT("R[-1]C[-4]",0) - INDIRECT("RC[-4]",0))^2 + (INDIRECT("R[-1]C[-3]",0) - INDIRECT("RC[-3]",0))^2 + (INDIRECT("R[-1]C[-2]",0) - INDIRECT("RC[-2]",0))^2)</f>
        <v>10.04664122978421</v>
      </c>
      <c r="F95">
        <f t="shared" ca="1" si="22"/>
        <v>5.33</v>
      </c>
      <c r="G95">
        <f t="shared" ca="1" si="22"/>
        <v>7.55</v>
      </c>
      <c r="H95">
        <f t="shared" ca="1" si="22"/>
        <v>3.94</v>
      </c>
      <c r="I95">
        <f ca="1">SQRT((INDIRECT("R[-1]C[-8]",0) - INDIRECT("RC[-8]",0))^2 + (INDIRECT("R[-1]C[-7]",0) - INDIRECT("RC[-7]",0))^2)</f>
        <v>9.2418288233444361</v>
      </c>
      <c r="J95">
        <f ca="1">SQRT((INDIRECT("R[-1]C[-9]",0) - INDIRECT("RC[-9]",0))^2 + (INDIRECT("R[-1]C[-7]",0) - INDIRECT("RC[-7]",0))^2)</f>
        <v>6.6281596239076803</v>
      </c>
      <c r="K95">
        <f ca="1">SQRT((INDIRECT("R[-1]C[-9]",0) - INDIRECT("RC[-9]",0))^2 + (INDIRECT("R[-1]C[-8]",0) - INDIRECT("RC[-8]",0))^2)</f>
        <v>8.516225689822928</v>
      </c>
    </row>
    <row r="96" spans="1:11" x14ac:dyDescent="0.25">
      <c r="A96">
        <f>AxisValue(A91,8)</f>
        <v>-2.11</v>
      </c>
      <c r="B96">
        <f>AxisValue(B91,8)</f>
        <v>4.0090000000000003</v>
      </c>
      <c r="C96">
        <f>AxisValue(C91,8)</f>
        <v>0.77</v>
      </c>
      <c r="D96">
        <f ca="1">SQRT(INDIRECT("RC[-3]",0)^2 + INDIRECT("RC[-2]",0)^2 + INDIRECT("RC[-1]",0)^2)</f>
        <v>4.5953325233327789</v>
      </c>
      <c r="E96">
        <f ca="1">SQRT((INDIRECT("R[-1]C[-4]",0) - INDIRECT("RC[-4]",0))^2 + (INDIRECT("R[-1]C[-3]",0) - INDIRECT("RC[-3]",0))^2 + (INDIRECT("R[-1]C[-2]",0) - INDIRECT("RC[-2]",0))^2)</f>
        <v>6.5500779384676022</v>
      </c>
      <c r="F96">
        <f t="shared" ca="1" si="22"/>
        <v>4.1099999999999994</v>
      </c>
      <c r="G96">
        <f t="shared" ca="1" si="22"/>
        <v>2.7890000000000006</v>
      </c>
      <c r="H96">
        <f t="shared" ca="1" si="22"/>
        <v>4.2699999999999996</v>
      </c>
      <c r="I96">
        <f ca="1">SQRT((INDIRECT("R[-1]C[-8]",0) - INDIRECT("RC[-8]",0))^2 + (INDIRECT("R[-1]C[-7]",0) - INDIRECT("RC[-7]",0))^2)</f>
        <v>4.9669528888444265</v>
      </c>
      <c r="J96">
        <f ca="1">SQRT((INDIRECT("R[-1]C[-9]",0) - INDIRECT("RC[-9]",0))^2 + (INDIRECT("R[-1]C[-7]",0) - INDIRECT("RC[-7]",0))^2)</f>
        <v>5.9266347955648486</v>
      </c>
      <c r="K96">
        <f ca="1">SQRT((INDIRECT("R[-1]C[-9]",0) - INDIRECT("RC[-9]",0))^2 + (INDIRECT("R[-1]C[-8]",0) - INDIRECT("RC[-8]",0))^2)</f>
        <v>5.1001393118227663</v>
      </c>
    </row>
    <row r="97" spans="1:11" x14ac:dyDescent="0.25">
      <c r="D97" t="s">
        <v>4</v>
      </c>
      <c r="E97">
        <f t="shared" ref="E97:K97" ca="1" si="23">(INDIRECT("R[-1]C",0) + INDIRECT("R[-2]C",0) + INDIRECT("R[-3]C",0) + INDIRECT("R[-4]C",0))</f>
        <v>35.564484887633753</v>
      </c>
      <c r="F97">
        <f t="shared" ca="1" si="23"/>
        <v>13.469999999999999</v>
      </c>
      <c r="G97">
        <f t="shared" ca="1" si="23"/>
        <v>20.509</v>
      </c>
      <c r="H97">
        <f t="shared" ca="1" si="23"/>
        <v>23.45</v>
      </c>
      <c r="I97">
        <f t="shared" ca="1" si="23"/>
        <v>25.442733916865691</v>
      </c>
      <c r="J97">
        <f t="shared" ca="1" si="23"/>
        <v>28.559345132744298</v>
      </c>
      <c r="K97">
        <f t="shared" ca="1" si="23"/>
        <v>31.938277413793536</v>
      </c>
    </row>
    <row r="98" spans="1:11" x14ac:dyDescent="0.25">
      <c r="A98" t="s">
        <v>18</v>
      </c>
    </row>
    <row r="99" spans="1:11" x14ac:dyDescent="0.25">
      <c r="A99" s="1" t="s">
        <v>25</v>
      </c>
      <c r="B99" s="1" t="s">
        <v>26</v>
      </c>
      <c r="C99" s="1" t="s">
        <v>24</v>
      </c>
      <c r="D99" t="s">
        <v>10</v>
      </c>
      <c r="E99" t="s">
        <v>14</v>
      </c>
      <c r="F99" t="s">
        <v>13</v>
      </c>
      <c r="G99" t="s">
        <v>12</v>
      </c>
      <c r="H99" t="s">
        <v>11</v>
      </c>
      <c r="I99" t="s">
        <v>15</v>
      </c>
      <c r="J99" t="s">
        <v>16</v>
      </c>
      <c r="K99" t="s">
        <v>17</v>
      </c>
    </row>
    <row r="100" spans="1:11" x14ac:dyDescent="0.25">
      <c r="A100">
        <f>AxisValue(A99,4)</f>
        <v>-2.7</v>
      </c>
      <c r="B100">
        <f>AxisValue(B99,4)</f>
        <v>-1.5</v>
      </c>
      <c r="C100">
        <f>AxisValue(C99,4)</f>
        <v>-7.8</v>
      </c>
      <c r="D100">
        <f ca="1">SQRT(INDIRECT("RC[-3]",0)^2 + INDIRECT("RC[-2]",0)^2 + INDIRECT("RC[-1]",0)^2)</f>
        <v>8.3892788724657379</v>
      </c>
    </row>
    <row r="101" spans="1:11" x14ac:dyDescent="0.25">
      <c r="A101">
        <f>AxisValue(A99,5)</f>
        <v>-1</v>
      </c>
      <c r="B101">
        <f>AxisValue(B99,5)</f>
        <v>-9</v>
      </c>
      <c r="C101">
        <f>AxisValue(C99,5)</f>
        <v>3.5</v>
      </c>
      <c r="D101">
        <f ca="1">SQRT(INDIRECT("RC[-3]",0)^2 + INDIRECT("RC[-2]",0)^2 + INDIRECT("RC[-1]",0)^2)</f>
        <v>9.7082439194737997</v>
      </c>
      <c r="E101">
        <f ca="1">SQRT((INDIRECT("R[-1]C[-4]",0) - INDIRECT("RC[-4]",0))^2 + (INDIRECT("R[-1]C[-3]",0) - INDIRECT("RC[-3]",0))^2 + (INDIRECT("R[-1]C[-2]",0) - INDIRECT("RC[-2]",0))^2)</f>
        <v>13.668577102244404</v>
      </c>
      <c r="F101">
        <f t="shared" ref="F101:H104" ca="1" si="24">SQRT((INDIRECT("R[-1]C[-5]",0) - INDIRECT("RC[-5]",0))^2)</f>
        <v>1.7000000000000002</v>
      </c>
      <c r="G101">
        <f t="shared" ca="1" si="24"/>
        <v>7.5</v>
      </c>
      <c r="H101">
        <f t="shared" ca="1" si="24"/>
        <v>11.3</v>
      </c>
      <c r="I101">
        <f ca="1">SQRT((INDIRECT("R[-1]C[-8]",0) - INDIRECT("RC[-8]",0))^2 + (INDIRECT("R[-1]C[-7]",0) - INDIRECT("RC[-7]",0))^2)</f>
        <v>7.6902535718921516</v>
      </c>
      <c r="J101">
        <f ca="1">SQRT((INDIRECT("R[-1]C[-9]",0) - INDIRECT("RC[-9]",0))^2 + (INDIRECT("R[-1]C[-7]",0) - INDIRECT("RC[-7]",0))^2)</f>
        <v>11.427160627207444</v>
      </c>
      <c r="K101">
        <f ca="1">SQRT((INDIRECT("R[-1]C[-9]",0) - INDIRECT("RC[-9]",0))^2 + (INDIRECT("R[-1]C[-8]",0) - INDIRECT("RC[-8]",0))^2)</f>
        <v>13.56244815658294</v>
      </c>
    </row>
    <row r="102" spans="1:11" x14ac:dyDescent="0.25">
      <c r="A102">
        <f>AxisValue(A99,6)</f>
        <v>-3.33</v>
      </c>
      <c r="B102">
        <f>AxisValue(B99,6)</f>
        <v>-6.33</v>
      </c>
      <c r="C102">
        <f>AxisValue(C99,6)</f>
        <v>-0.44</v>
      </c>
      <c r="D102">
        <f ca="1">SQRT(INDIRECT("RC[-3]",0)^2 + INDIRECT("RC[-2]",0)^2 + INDIRECT("RC[-1]",0)^2)</f>
        <v>7.1659891152582693</v>
      </c>
      <c r="E102">
        <f ca="1">SQRT((INDIRECT("R[-1]C[-4]",0) - INDIRECT("RC[-4]",0))^2 + (INDIRECT("R[-1]C[-3]",0) - INDIRECT("RC[-3]",0))^2 + (INDIRECT("R[-1]C[-2]",0) - INDIRECT("RC[-2]",0))^2)</f>
        <v>5.2991886171375331</v>
      </c>
      <c r="F102">
        <f t="shared" ca="1" si="24"/>
        <v>2.33</v>
      </c>
      <c r="G102">
        <f t="shared" ca="1" si="24"/>
        <v>2.67</v>
      </c>
      <c r="H102">
        <f t="shared" ca="1" si="24"/>
        <v>3.94</v>
      </c>
      <c r="I102">
        <f ca="1">SQRT((INDIRECT("R[-1]C[-8]",0) - INDIRECT("RC[-8]",0))^2 + (INDIRECT("R[-1]C[-7]",0) - INDIRECT("RC[-7]",0))^2)</f>
        <v>3.5436986327846784</v>
      </c>
      <c r="J102">
        <f ca="1">SQRT((INDIRECT("R[-1]C[-9]",0) - INDIRECT("RC[-9]",0))^2 + (INDIRECT("R[-1]C[-7]",0) - INDIRECT("RC[-7]",0))^2)</f>
        <v>4.5773900860643284</v>
      </c>
      <c r="K102">
        <f ca="1">SQRT((INDIRECT("R[-1]C[-9]",0) - INDIRECT("RC[-9]",0))^2 + (INDIRECT("R[-1]C[-8]",0) - INDIRECT("RC[-8]",0))^2)</f>
        <v>4.7594642555649056</v>
      </c>
    </row>
    <row r="103" spans="1:11" x14ac:dyDescent="0.25">
      <c r="A103">
        <f>AxisValue(A99,7)</f>
        <v>2</v>
      </c>
      <c r="B103">
        <f>AxisValue(B99,7)</f>
        <v>1.22</v>
      </c>
      <c r="C103">
        <f>AxisValue(C99,7)</f>
        <v>3.5</v>
      </c>
      <c r="D103">
        <f ca="1">SQRT(INDIRECT("RC[-3]",0)^2 + INDIRECT("RC[-2]",0)^2 + INDIRECT("RC[-1]",0)^2)</f>
        <v>4.2116979948709519</v>
      </c>
      <c r="E103">
        <f ca="1">SQRT((INDIRECT("R[-1]C[-4]",0) - INDIRECT("RC[-4]",0))^2 + (INDIRECT("R[-1]C[-3]",0) - INDIRECT("RC[-3]",0))^2 + (INDIRECT("R[-1]C[-2]",0) - INDIRECT("RC[-2]",0))^2)</f>
        <v>10.04664122978421</v>
      </c>
      <c r="F103">
        <f t="shared" ca="1" si="24"/>
        <v>5.33</v>
      </c>
      <c r="G103">
        <f t="shared" ca="1" si="24"/>
        <v>7.55</v>
      </c>
      <c r="H103">
        <f t="shared" ca="1" si="24"/>
        <v>3.94</v>
      </c>
      <c r="I103">
        <f ca="1">SQRT((INDIRECT("R[-1]C[-8]",0) - INDIRECT("RC[-8]",0))^2 + (INDIRECT("R[-1]C[-7]",0) - INDIRECT("RC[-7]",0))^2)</f>
        <v>9.2418288233444361</v>
      </c>
      <c r="J103">
        <f ca="1">SQRT((INDIRECT("R[-1]C[-9]",0) - INDIRECT("RC[-9]",0))^2 + (INDIRECT("R[-1]C[-7]",0) - INDIRECT("RC[-7]",0))^2)</f>
        <v>6.6281596239076803</v>
      </c>
      <c r="K103">
        <f ca="1">SQRT((INDIRECT("R[-1]C[-9]",0) - INDIRECT("RC[-9]",0))^2 + (INDIRECT("R[-1]C[-8]",0) - INDIRECT("RC[-8]",0))^2)</f>
        <v>8.516225689822928</v>
      </c>
    </row>
    <row r="104" spans="1:11" x14ac:dyDescent="0.25">
      <c r="A104">
        <f>AxisValue(A99,8)</f>
        <v>-2.11</v>
      </c>
      <c r="B104">
        <f>AxisValue(B99,8)</f>
        <v>4.0090000000000003</v>
      </c>
      <c r="C104">
        <f>AxisValue(C99,8)</f>
        <v>-0.77</v>
      </c>
      <c r="D104">
        <f ca="1">SQRT(INDIRECT("RC[-3]",0)^2 + INDIRECT("RC[-2]",0)^2 + INDIRECT("RC[-1]",0)^2)</f>
        <v>4.5953325233327789</v>
      </c>
      <c r="E104">
        <f ca="1">SQRT((INDIRECT("R[-1]C[-4]",0) - INDIRECT("RC[-4]",0))^2 + (INDIRECT("R[-1]C[-3]",0) - INDIRECT("RC[-3]",0))^2 + (INDIRECT("R[-1]C[-2]",0) - INDIRECT("RC[-2]",0))^2)</f>
        <v>6.5500779384676022</v>
      </c>
      <c r="F104">
        <f t="shared" ca="1" si="24"/>
        <v>4.1099999999999994</v>
      </c>
      <c r="G104">
        <f t="shared" ca="1" si="24"/>
        <v>2.7890000000000006</v>
      </c>
      <c r="H104">
        <f t="shared" ca="1" si="24"/>
        <v>4.2699999999999996</v>
      </c>
      <c r="I104">
        <f ca="1">SQRT((INDIRECT("R[-1]C[-8]",0) - INDIRECT("RC[-8]",0))^2 + (INDIRECT("R[-1]C[-7]",0) - INDIRECT("RC[-7]",0))^2)</f>
        <v>4.9669528888444265</v>
      </c>
      <c r="J104">
        <f ca="1">SQRT((INDIRECT("R[-1]C[-9]",0) - INDIRECT("RC[-9]",0))^2 + (INDIRECT("R[-1]C[-7]",0) - INDIRECT("RC[-7]",0))^2)</f>
        <v>5.9266347955648486</v>
      </c>
      <c r="K104">
        <f ca="1">SQRT((INDIRECT("R[-1]C[-9]",0) - INDIRECT("RC[-9]",0))^2 + (INDIRECT("R[-1]C[-8]",0) - INDIRECT("RC[-8]",0))^2)</f>
        <v>5.1001393118227663</v>
      </c>
    </row>
    <row r="105" spans="1:11" x14ac:dyDescent="0.25">
      <c r="D105" t="s">
        <v>4</v>
      </c>
      <c r="E105">
        <f t="shared" ref="E105:K105" ca="1" si="25">(INDIRECT("R[-1]C",0) + INDIRECT("R[-2]C",0) + INDIRECT("R[-3]C",0) + INDIRECT("R[-4]C",0))</f>
        <v>35.564484887633753</v>
      </c>
      <c r="F105">
        <f t="shared" ca="1" si="25"/>
        <v>13.469999999999999</v>
      </c>
      <c r="G105">
        <f t="shared" ca="1" si="25"/>
        <v>20.509</v>
      </c>
      <c r="H105">
        <f t="shared" ca="1" si="25"/>
        <v>23.45</v>
      </c>
      <c r="I105">
        <f t="shared" ca="1" si="25"/>
        <v>25.442733916865691</v>
      </c>
      <c r="J105">
        <f t="shared" ca="1" si="25"/>
        <v>28.559345132744298</v>
      </c>
      <c r="K105">
        <f t="shared" ca="1" si="25"/>
        <v>31.938277413793536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105"/>
  <sheetViews>
    <sheetView tabSelected="1" zoomScale="85" zoomScaleNormal="85" workbookViewId="0">
      <selection activeCell="C6" sqref="C6"/>
    </sheetView>
  </sheetViews>
  <sheetFormatPr defaultRowHeight="15" x14ac:dyDescent="0.25"/>
  <cols>
    <col min="4" max="11" width="13.7109375" customWidth="1"/>
  </cols>
  <sheetData>
    <row r="2" spans="1:11" x14ac:dyDescent="0.25">
      <c r="A2" t="s">
        <v>19</v>
      </c>
      <c r="B2" t="s">
        <v>20</v>
      </c>
    </row>
    <row r="3" spans="1:11" x14ac:dyDescent="0.25">
      <c r="A3" t="s">
        <v>0</v>
      </c>
      <c r="B3" t="s">
        <v>1</v>
      </c>
      <c r="C3" t="s">
        <v>2</v>
      </c>
      <c r="D3" t="s">
        <v>10</v>
      </c>
      <c r="E3" t="s">
        <v>9</v>
      </c>
      <c r="F3" t="s">
        <v>13</v>
      </c>
      <c r="G3" t="s">
        <v>12</v>
      </c>
      <c r="H3" t="s">
        <v>11</v>
      </c>
      <c r="I3" t="s">
        <v>15</v>
      </c>
      <c r="J3" t="s">
        <v>16</v>
      </c>
      <c r="K3" t="s">
        <v>17</v>
      </c>
    </row>
    <row r="4" spans="1:11" x14ac:dyDescent="0.25">
      <c r="A4">
        <v>1.5</v>
      </c>
      <c r="B4">
        <v>2.7</v>
      </c>
      <c r="C4">
        <v>7.8</v>
      </c>
    </row>
    <row r="5" spans="1:11" x14ac:dyDescent="0.25">
      <c r="A5">
        <v>9</v>
      </c>
      <c r="B5">
        <v>1</v>
      </c>
      <c r="C5">
        <v>-3.5</v>
      </c>
      <c r="E5">
        <f ca="1">SQRT((INDIRECT("R[-1]C[-4]",0) - INDIRECT("RC[-4]",0))^2 + (INDIRECT("R[-1]C[-3]",0) - INDIRECT("RC[-3]",0))^2 + (INDIRECT("R[-1]C[-2]",0) - INDIRECT("RC[-2]",0))^2)</f>
        <v>13.668577102244404</v>
      </c>
      <c r="F5">
        <f t="shared" ref="F5:H8" ca="1" si="0">SQRT((INDIRECT("R[-1]C[-5]",0) - INDIRECT("RC[-5]",0))^2)</f>
        <v>7.5</v>
      </c>
      <c r="G5">
        <f t="shared" ca="1" si="0"/>
        <v>1.7000000000000002</v>
      </c>
      <c r="H5">
        <f t="shared" ca="1" si="0"/>
        <v>11.3</v>
      </c>
      <c r="I5">
        <f ca="1">SQRT((INDIRECT("R[-1]C[-8]",0) - INDIRECT("RC[-8]",0))^2 + (INDIRECT("R[-1]C[-7]",0) - INDIRECT("RC[-7]",0))^2)</f>
        <v>7.6902535718921516</v>
      </c>
      <c r="J5">
        <f ca="1">SQRT((INDIRECT("R[-1]C[-9]",0) - INDIRECT("RC[-9]",0))^2 + (INDIRECT("R[-1]C[-7]",0) - INDIRECT("RC[-7]",0))^2)</f>
        <v>13.56244815658294</v>
      </c>
      <c r="K5">
        <f ca="1">SQRT((INDIRECT("R[-1]C[-9]",0) - INDIRECT("RC[-9]",0))^2 + (INDIRECT("R[-1]C[-8]",0) - INDIRECT("RC[-8]",0))^2)</f>
        <v>11.427160627207444</v>
      </c>
    </row>
    <row r="6" spans="1:11" x14ac:dyDescent="0.25">
      <c r="A6">
        <v>6.33</v>
      </c>
      <c r="B6">
        <v>3.33</v>
      </c>
      <c r="C6">
        <v>0.44</v>
      </c>
      <c r="E6">
        <f ca="1">SQRT((INDIRECT("R[-1]C[-4]",0) - INDIRECT("RC[-4]",0))^2 + (INDIRECT("R[-1]C[-3]",0) - INDIRECT("RC[-3]",0))^2 + (INDIRECT("R[-1]C[-2]",0) - INDIRECT("RC[-2]",0))^2)</f>
        <v>5.2991886171375331</v>
      </c>
      <c r="F6">
        <f t="shared" ca="1" si="0"/>
        <v>2.67</v>
      </c>
      <c r="G6">
        <f t="shared" ca="1" si="0"/>
        <v>2.33</v>
      </c>
      <c r="H6">
        <f t="shared" ca="1" si="0"/>
        <v>3.94</v>
      </c>
      <c r="I6">
        <f ca="1">SQRT((INDIRECT("R[-1]C[-8]",0) - INDIRECT("RC[-8]",0))^2 + (INDIRECT("R[-1]C[-7]",0) - INDIRECT("RC[-7]",0))^2)</f>
        <v>3.5436986327846784</v>
      </c>
      <c r="J6">
        <f ca="1">SQRT((INDIRECT("R[-1]C[-9]",0) - INDIRECT("RC[-9]",0))^2 + (INDIRECT("R[-1]C[-7]",0) - INDIRECT("RC[-7]",0))^2)</f>
        <v>4.7594642555649056</v>
      </c>
      <c r="K6">
        <f ca="1">SQRT((INDIRECT("R[-1]C[-9]",0) - INDIRECT("RC[-9]",0))^2 + (INDIRECT("R[-1]C[-8]",0) - INDIRECT("RC[-8]",0))^2)</f>
        <v>4.5773900860643284</v>
      </c>
    </row>
    <row r="7" spans="1:11" x14ac:dyDescent="0.25">
      <c r="A7">
        <v>-1.22</v>
      </c>
      <c r="B7">
        <v>-2</v>
      </c>
      <c r="C7">
        <v>-3.5</v>
      </c>
      <c r="E7">
        <f ca="1">SQRT((INDIRECT("R[-1]C[-4]",0) - INDIRECT("RC[-4]",0))^2 + (INDIRECT("R[-1]C[-3]",0) - INDIRECT("RC[-3]",0))^2 + (INDIRECT("R[-1]C[-2]",0) - INDIRECT("RC[-2]",0))^2)</f>
        <v>10.04664122978421</v>
      </c>
      <c r="F7">
        <f t="shared" ca="1" si="0"/>
        <v>7.55</v>
      </c>
      <c r="G7">
        <f t="shared" ca="1" si="0"/>
        <v>5.33</v>
      </c>
      <c r="H7">
        <f t="shared" ca="1" si="0"/>
        <v>3.94</v>
      </c>
      <c r="I7">
        <f ca="1">SQRT((INDIRECT("R[-1]C[-8]",0) - INDIRECT("RC[-8]",0))^2 + (INDIRECT("R[-1]C[-7]",0) - INDIRECT("RC[-7]",0))^2)</f>
        <v>9.2418288233444361</v>
      </c>
      <c r="J7">
        <f ca="1">SQRT((INDIRECT("R[-1]C[-9]",0) - INDIRECT("RC[-9]",0))^2 + (INDIRECT("R[-1]C[-7]",0) - INDIRECT("RC[-7]",0))^2)</f>
        <v>8.516225689822928</v>
      </c>
      <c r="K7">
        <f ca="1">SQRT((INDIRECT("R[-1]C[-9]",0) - INDIRECT("RC[-9]",0))^2 + (INDIRECT("R[-1]C[-8]",0) - INDIRECT("RC[-8]",0))^2)</f>
        <v>6.6281596239076803</v>
      </c>
    </row>
    <row r="8" spans="1:11" x14ac:dyDescent="0.25">
      <c r="A8">
        <v>-4.0090000000000003</v>
      </c>
      <c r="B8">
        <v>2.11</v>
      </c>
      <c r="C8">
        <v>0.77</v>
      </c>
      <c r="E8">
        <f ca="1">SQRT((INDIRECT("R[-1]C[-4]",0) - INDIRECT("RC[-4]",0))^2 + (INDIRECT("R[-1]C[-3]",0) - INDIRECT("RC[-3]",0))^2 + (INDIRECT("R[-1]C[-2]",0) - INDIRECT("RC[-2]",0))^2)</f>
        <v>6.5500779384676022</v>
      </c>
      <c r="F8">
        <f t="shared" ca="1" si="0"/>
        <v>2.7890000000000006</v>
      </c>
      <c r="G8">
        <f t="shared" ca="1" si="0"/>
        <v>4.1099999999999994</v>
      </c>
      <c r="H8">
        <f t="shared" ca="1" si="0"/>
        <v>4.2699999999999996</v>
      </c>
      <c r="I8">
        <f ca="1">SQRT((INDIRECT("R[-1]C[-8]",0) - INDIRECT("RC[-8]",0))^2 + (INDIRECT("R[-1]C[-7]",0) - INDIRECT("RC[-7]",0))^2)</f>
        <v>4.9669528888444265</v>
      </c>
      <c r="J8">
        <f ca="1">SQRT((INDIRECT("R[-1]C[-9]",0) - INDIRECT("RC[-9]",0))^2 + (INDIRECT("R[-1]C[-7]",0) - INDIRECT("RC[-7]",0))^2)</f>
        <v>5.1001393118227663</v>
      </c>
      <c r="K8">
        <f ca="1">SQRT((INDIRECT("R[-1]C[-9]",0) - INDIRECT("RC[-9]",0))^2 + (INDIRECT("R[-1]C[-8]",0) - INDIRECT("RC[-8]",0))^2)</f>
        <v>5.9266347955648486</v>
      </c>
    </row>
    <row r="9" spans="1:11" x14ac:dyDescent="0.25">
      <c r="D9" t="s">
        <v>4</v>
      </c>
      <c r="E9">
        <f t="shared" ref="E9:K9" ca="1" si="1">(INDIRECT("R[-1]C",0) + INDIRECT("R[-2]C",0) + INDIRECT("R[-3]C",0) + INDIRECT("R[-4]C",0))</f>
        <v>35.564484887633753</v>
      </c>
      <c r="F9">
        <f t="shared" ca="1" si="1"/>
        <v>20.509</v>
      </c>
      <c r="G9">
        <f t="shared" ca="1" si="1"/>
        <v>13.469999999999999</v>
      </c>
      <c r="H9">
        <f t="shared" ca="1" si="1"/>
        <v>23.45</v>
      </c>
      <c r="I9">
        <f t="shared" ca="1" si="1"/>
        <v>25.442733916865691</v>
      </c>
      <c r="J9">
        <f t="shared" ca="1" si="1"/>
        <v>31.938277413793536</v>
      </c>
      <c r="K9">
        <f t="shared" ca="1" si="1"/>
        <v>28.559345132744298</v>
      </c>
    </row>
    <row r="10" spans="1:11" x14ac:dyDescent="0.25">
      <c r="A10" t="s">
        <v>18</v>
      </c>
    </row>
    <row r="11" spans="1:11" x14ac:dyDescent="0.25">
      <c r="A11" s="1" t="s">
        <v>22</v>
      </c>
      <c r="B11" s="1" t="s">
        <v>23</v>
      </c>
      <c r="C11" s="1" t="s">
        <v>21</v>
      </c>
      <c r="D11" t="s">
        <v>10</v>
      </c>
      <c r="E11" t="s">
        <v>14</v>
      </c>
      <c r="F11" t="s">
        <v>13</v>
      </c>
      <c r="G11" t="s">
        <v>12</v>
      </c>
      <c r="H11" t="s">
        <v>11</v>
      </c>
      <c r="I11" t="s">
        <v>15</v>
      </c>
      <c r="J11" t="s">
        <v>16</v>
      </c>
      <c r="K11" t="s">
        <v>17</v>
      </c>
    </row>
    <row r="12" spans="1:11" x14ac:dyDescent="0.25">
      <c r="A12">
        <f>AxisValue(A11,4)</f>
        <v>2.7</v>
      </c>
      <c r="B12">
        <f>AxisValue(B11,4)</f>
        <v>7.8</v>
      </c>
      <c r="C12">
        <f>AxisValue(C11,4)</f>
        <v>1.5</v>
      </c>
      <c r="D12">
        <f ca="1">SQRT(INDIRECT("RC[-3]",0)^2 + INDIRECT("RC[-2]",0)^2 + INDIRECT("RC[-1]",0)^2)</f>
        <v>8.3892788724657379</v>
      </c>
    </row>
    <row r="13" spans="1:11" x14ac:dyDescent="0.25">
      <c r="A13">
        <f>AxisValue(A11,5)</f>
        <v>1</v>
      </c>
      <c r="B13">
        <f>AxisValue(B11,5)</f>
        <v>-3.5</v>
      </c>
      <c r="C13">
        <f>AxisValue(C11,5)</f>
        <v>9</v>
      </c>
      <c r="D13">
        <f ca="1">SQRT(INDIRECT("RC[-3]",0)^2 + INDIRECT("RC[-2]",0)^2 + INDIRECT("RC[-1]",0)^2)</f>
        <v>9.7082439194737997</v>
      </c>
      <c r="E13">
        <f ca="1">SQRT((INDIRECT("R[-1]C[-4]",0) - INDIRECT("RC[-4]",0))^2 + (INDIRECT("R[-1]C[-3]",0) - INDIRECT("RC[-3]",0))^2 + (INDIRECT("R[-1]C[-2]",0) - INDIRECT("RC[-2]",0))^2)</f>
        <v>13.668577102244404</v>
      </c>
      <c r="F13">
        <f t="shared" ref="F13:H16" ca="1" si="2">SQRT((INDIRECT("R[-1]C[-5]",0) - INDIRECT("RC[-5]",0))^2)</f>
        <v>1.7000000000000002</v>
      </c>
      <c r="G13">
        <f t="shared" ca="1" si="2"/>
        <v>11.3</v>
      </c>
      <c r="H13">
        <f t="shared" ca="1" si="2"/>
        <v>7.5</v>
      </c>
      <c r="I13">
        <f ca="1">SQRT((INDIRECT("R[-1]C[-8]",0) - INDIRECT("RC[-8]",0))^2 + (INDIRECT("R[-1]C[-7]",0) - INDIRECT("RC[-7]",0))^2)</f>
        <v>11.427160627207444</v>
      </c>
      <c r="J13">
        <f ca="1">SQRT((INDIRECT("R[-1]C[-9]",0) - INDIRECT("RC[-9]",0))^2 + (INDIRECT("R[-1]C[-7]",0) - INDIRECT("RC[-7]",0))^2)</f>
        <v>7.6902535718921516</v>
      </c>
      <c r="K13">
        <f ca="1">SQRT((INDIRECT("R[-1]C[-9]",0) - INDIRECT("RC[-9]",0))^2 + (INDIRECT("R[-1]C[-8]",0) - INDIRECT("RC[-8]",0))^2)</f>
        <v>13.56244815658294</v>
      </c>
    </row>
    <row r="14" spans="1:11" x14ac:dyDescent="0.25">
      <c r="A14">
        <f>AxisValue(A11,6)</f>
        <v>3.33</v>
      </c>
      <c r="B14">
        <f>AxisValue(B11,6)</f>
        <v>0.44</v>
      </c>
      <c r="C14">
        <f>AxisValue(C11,6)</f>
        <v>6.33</v>
      </c>
      <c r="D14">
        <f ca="1">SQRT(INDIRECT("RC[-3]",0)^2 + INDIRECT("RC[-2]",0)^2 + INDIRECT("RC[-1]",0)^2)</f>
        <v>7.1659891152582693</v>
      </c>
      <c r="E14">
        <f ca="1">SQRT((INDIRECT("R[-1]C[-4]",0) - INDIRECT("RC[-4]",0))^2 + (INDIRECT("R[-1]C[-3]",0) - INDIRECT("RC[-3]",0))^2 + (INDIRECT("R[-1]C[-2]",0) - INDIRECT("RC[-2]",0))^2)</f>
        <v>5.2991886171375331</v>
      </c>
      <c r="F14">
        <f t="shared" ca="1" si="2"/>
        <v>2.33</v>
      </c>
      <c r="G14">
        <f t="shared" ca="1" si="2"/>
        <v>3.94</v>
      </c>
      <c r="H14">
        <f t="shared" ca="1" si="2"/>
        <v>2.67</v>
      </c>
      <c r="I14">
        <f ca="1">SQRT((INDIRECT("R[-1]C[-8]",0) - INDIRECT("RC[-8]",0))^2 + (INDIRECT("R[-1]C[-7]",0) - INDIRECT("RC[-7]",0))^2)</f>
        <v>4.5773900860643284</v>
      </c>
      <c r="J14">
        <f ca="1">SQRT((INDIRECT("R[-1]C[-9]",0) - INDIRECT("RC[-9]",0))^2 + (INDIRECT("R[-1]C[-7]",0) - INDIRECT("RC[-7]",0))^2)</f>
        <v>3.5436986327846784</v>
      </c>
      <c r="K14">
        <f ca="1">SQRT((INDIRECT("R[-1]C[-9]",0) - INDIRECT("RC[-9]",0))^2 + (INDIRECT("R[-1]C[-8]",0) - INDIRECT("RC[-8]",0))^2)</f>
        <v>4.7594642555649056</v>
      </c>
    </row>
    <row r="15" spans="1:11" x14ac:dyDescent="0.25">
      <c r="A15">
        <f>AxisValue(A11,7)</f>
        <v>-2</v>
      </c>
      <c r="B15">
        <f>AxisValue(B11,7)</f>
        <v>-3.5</v>
      </c>
      <c r="C15">
        <f>AxisValue(C11,7)</f>
        <v>-1.22</v>
      </c>
      <c r="D15">
        <f ca="1">SQRT(INDIRECT("RC[-3]",0)^2 + INDIRECT("RC[-2]",0)^2 + INDIRECT("RC[-1]",0)^2)</f>
        <v>4.2116979948709519</v>
      </c>
      <c r="E15">
        <f ca="1">SQRT((INDIRECT("R[-1]C[-4]",0) - INDIRECT("RC[-4]",0))^2 + (INDIRECT("R[-1]C[-3]",0) - INDIRECT("RC[-3]",0))^2 + (INDIRECT("R[-1]C[-2]",0) - INDIRECT("RC[-2]",0))^2)</f>
        <v>10.04664122978421</v>
      </c>
      <c r="F15">
        <f t="shared" ca="1" si="2"/>
        <v>5.33</v>
      </c>
      <c r="G15">
        <f t="shared" ca="1" si="2"/>
        <v>3.94</v>
      </c>
      <c r="H15">
        <f t="shared" ca="1" si="2"/>
        <v>7.55</v>
      </c>
      <c r="I15">
        <f ca="1">SQRT((INDIRECT("R[-1]C[-8]",0) - INDIRECT("RC[-8]",0))^2 + (INDIRECT("R[-1]C[-7]",0) - INDIRECT("RC[-7]",0))^2)</f>
        <v>6.6281596239076803</v>
      </c>
      <c r="J15">
        <f ca="1">SQRT((INDIRECT("R[-1]C[-9]",0) - INDIRECT("RC[-9]",0))^2 + (INDIRECT("R[-1]C[-7]",0) - INDIRECT("RC[-7]",0))^2)</f>
        <v>9.2418288233444361</v>
      </c>
      <c r="K15">
        <f ca="1">SQRT((INDIRECT("R[-1]C[-9]",0) - INDIRECT("RC[-9]",0))^2 + (INDIRECT("R[-1]C[-8]",0) - INDIRECT("RC[-8]",0))^2)</f>
        <v>8.516225689822928</v>
      </c>
    </row>
    <row r="16" spans="1:11" x14ac:dyDescent="0.25">
      <c r="A16">
        <f>AxisValue(A11,8)</f>
        <v>2.11</v>
      </c>
      <c r="B16">
        <f>AxisValue(B11,8)</f>
        <v>0.77</v>
      </c>
      <c r="C16">
        <f>AxisValue(C11,8)</f>
        <v>-4.0090000000000003</v>
      </c>
      <c r="D16">
        <f ca="1">SQRT(INDIRECT("RC[-3]",0)^2 + INDIRECT("RC[-2]",0)^2 + INDIRECT("RC[-1]",0)^2)</f>
        <v>4.5953325233327789</v>
      </c>
      <c r="E16">
        <f ca="1">SQRT((INDIRECT("R[-1]C[-4]",0) - INDIRECT("RC[-4]",0))^2 + (INDIRECT("R[-1]C[-3]",0) - INDIRECT("RC[-3]",0))^2 + (INDIRECT("R[-1]C[-2]",0) - INDIRECT("RC[-2]",0))^2)</f>
        <v>6.5500779384676022</v>
      </c>
      <c r="F16">
        <f t="shared" ca="1" si="2"/>
        <v>4.1099999999999994</v>
      </c>
      <c r="G16">
        <f t="shared" ca="1" si="2"/>
        <v>4.2699999999999996</v>
      </c>
      <c r="H16">
        <f t="shared" ca="1" si="2"/>
        <v>2.7890000000000006</v>
      </c>
      <c r="I16">
        <f ca="1">SQRT((INDIRECT("R[-1]C[-8]",0) - INDIRECT("RC[-8]",0))^2 + (INDIRECT("R[-1]C[-7]",0) - INDIRECT("RC[-7]",0))^2)</f>
        <v>5.9266347955648486</v>
      </c>
      <c r="J16">
        <f ca="1">SQRT((INDIRECT("R[-1]C[-9]",0) - INDIRECT("RC[-9]",0))^2 + (INDIRECT("R[-1]C[-7]",0) - INDIRECT("RC[-7]",0))^2)</f>
        <v>4.9669528888444265</v>
      </c>
      <c r="K16">
        <f ca="1">SQRT((INDIRECT("R[-1]C[-9]",0) - INDIRECT("RC[-9]",0))^2 + (INDIRECT("R[-1]C[-8]",0) - INDIRECT("RC[-8]",0))^2)</f>
        <v>5.1001393118227663</v>
      </c>
    </row>
    <row r="17" spans="1:11" x14ac:dyDescent="0.25">
      <c r="D17" t="s">
        <v>4</v>
      </c>
      <c r="E17">
        <f t="shared" ref="E17:K17" ca="1" si="3">(INDIRECT("R[-1]C",0) + INDIRECT("R[-2]C",0) + INDIRECT("R[-3]C",0) + INDIRECT("R[-4]C",0))</f>
        <v>35.564484887633753</v>
      </c>
      <c r="F17">
        <f t="shared" ca="1" si="3"/>
        <v>13.469999999999999</v>
      </c>
      <c r="G17">
        <f t="shared" ca="1" si="3"/>
        <v>23.45</v>
      </c>
      <c r="H17">
        <f t="shared" ca="1" si="3"/>
        <v>20.509</v>
      </c>
      <c r="I17">
        <f t="shared" ca="1" si="3"/>
        <v>28.559345132744298</v>
      </c>
      <c r="J17">
        <f t="shared" ca="1" si="3"/>
        <v>25.442733916865691</v>
      </c>
      <c r="K17">
        <f t="shared" ca="1" si="3"/>
        <v>31.938277413793536</v>
      </c>
    </row>
    <row r="18" spans="1:11" x14ac:dyDescent="0.25">
      <c r="A18" t="s">
        <v>18</v>
      </c>
    </row>
    <row r="19" spans="1:11" x14ac:dyDescent="0.25">
      <c r="A19" s="1" t="s">
        <v>22</v>
      </c>
      <c r="B19" s="1" t="s">
        <v>23</v>
      </c>
      <c r="C19" s="1" t="s">
        <v>26</v>
      </c>
      <c r="D19" t="s">
        <v>10</v>
      </c>
      <c r="E19" t="s">
        <v>14</v>
      </c>
      <c r="F19" t="s">
        <v>13</v>
      </c>
      <c r="G19" t="s">
        <v>12</v>
      </c>
      <c r="H19" t="s">
        <v>11</v>
      </c>
      <c r="I19" t="s">
        <v>15</v>
      </c>
      <c r="J19" t="s">
        <v>16</v>
      </c>
      <c r="K19" t="s">
        <v>17</v>
      </c>
    </row>
    <row r="20" spans="1:11" x14ac:dyDescent="0.25">
      <c r="A20">
        <f>AxisValue(A19,4)</f>
        <v>2.7</v>
      </c>
      <c r="B20">
        <f>AxisValue(B19,4)</f>
        <v>7.8</v>
      </c>
      <c r="C20">
        <f>AxisValue(C19,4)</f>
        <v>-1.5</v>
      </c>
      <c r="D20">
        <f ca="1">SQRT(INDIRECT("RC[-3]",0)^2 + INDIRECT("RC[-2]",0)^2 + INDIRECT("RC[-1]",0)^2)</f>
        <v>8.3892788724657379</v>
      </c>
    </row>
    <row r="21" spans="1:11" x14ac:dyDescent="0.25">
      <c r="A21">
        <f>AxisValue(A19,5)</f>
        <v>1</v>
      </c>
      <c r="B21">
        <f>AxisValue(B19,5)</f>
        <v>-3.5</v>
      </c>
      <c r="C21">
        <f>AxisValue(C19,5)</f>
        <v>-9</v>
      </c>
      <c r="D21">
        <f ca="1">SQRT(INDIRECT("RC[-3]",0)^2 + INDIRECT("RC[-2]",0)^2 + INDIRECT("RC[-1]",0)^2)</f>
        <v>9.7082439194737997</v>
      </c>
      <c r="E21">
        <f ca="1">SQRT((INDIRECT("R[-1]C[-4]",0) - INDIRECT("RC[-4]",0))^2 + (INDIRECT("R[-1]C[-3]",0) - INDIRECT("RC[-3]",0))^2 + (INDIRECT("R[-1]C[-2]",0) - INDIRECT("RC[-2]",0))^2)</f>
        <v>13.668577102244404</v>
      </c>
      <c r="F21">
        <f t="shared" ref="F21:H24" ca="1" si="4">SQRT((INDIRECT("R[-1]C[-5]",0) - INDIRECT("RC[-5]",0))^2)</f>
        <v>1.7000000000000002</v>
      </c>
      <c r="G21">
        <f t="shared" ca="1" si="4"/>
        <v>11.3</v>
      </c>
      <c r="H21">
        <f t="shared" ca="1" si="4"/>
        <v>7.5</v>
      </c>
      <c r="I21">
        <f ca="1">SQRT((INDIRECT("R[-1]C[-8]",0) - INDIRECT("RC[-8]",0))^2 + (INDIRECT("R[-1]C[-7]",0) - INDIRECT("RC[-7]",0))^2)</f>
        <v>11.427160627207444</v>
      </c>
      <c r="J21">
        <f ca="1">SQRT((INDIRECT("R[-1]C[-9]",0) - INDIRECT("RC[-9]",0))^2 + (INDIRECT("R[-1]C[-7]",0) - INDIRECT("RC[-7]",0))^2)</f>
        <v>7.6902535718921516</v>
      </c>
      <c r="K21">
        <f ca="1">SQRT((INDIRECT("R[-1]C[-9]",0) - INDIRECT("RC[-9]",0))^2 + (INDIRECT("R[-1]C[-8]",0) - INDIRECT("RC[-8]",0))^2)</f>
        <v>13.56244815658294</v>
      </c>
    </row>
    <row r="22" spans="1:11" x14ac:dyDescent="0.25">
      <c r="A22">
        <f>AxisValue(A19,6)</f>
        <v>3.33</v>
      </c>
      <c r="B22">
        <f>AxisValue(B19,6)</f>
        <v>0.44</v>
      </c>
      <c r="C22">
        <f>AxisValue(C19,6)</f>
        <v>-6.33</v>
      </c>
      <c r="D22">
        <f ca="1">SQRT(INDIRECT("RC[-3]",0)^2 + INDIRECT("RC[-2]",0)^2 + INDIRECT("RC[-1]",0)^2)</f>
        <v>7.1659891152582693</v>
      </c>
      <c r="E22">
        <f ca="1">SQRT((INDIRECT("R[-1]C[-4]",0) - INDIRECT("RC[-4]",0))^2 + (INDIRECT("R[-1]C[-3]",0) - INDIRECT("RC[-3]",0))^2 + (INDIRECT("R[-1]C[-2]",0) - INDIRECT("RC[-2]",0))^2)</f>
        <v>5.2991886171375331</v>
      </c>
      <c r="F22">
        <f t="shared" ca="1" si="4"/>
        <v>2.33</v>
      </c>
      <c r="G22">
        <f t="shared" ca="1" si="4"/>
        <v>3.94</v>
      </c>
      <c r="H22">
        <f t="shared" ca="1" si="4"/>
        <v>2.67</v>
      </c>
      <c r="I22">
        <f ca="1">SQRT((INDIRECT("R[-1]C[-8]",0) - INDIRECT("RC[-8]",0))^2 + (INDIRECT("R[-1]C[-7]",0) - INDIRECT("RC[-7]",0))^2)</f>
        <v>4.5773900860643284</v>
      </c>
      <c r="J22">
        <f ca="1">SQRT((INDIRECT("R[-1]C[-9]",0) - INDIRECT("RC[-9]",0))^2 + (INDIRECT("R[-1]C[-7]",0) - INDIRECT("RC[-7]",0))^2)</f>
        <v>3.5436986327846784</v>
      </c>
      <c r="K22">
        <f ca="1">SQRT((INDIRECT("R[-1]C[-9]",0) - INDIRECT("RC[-9]",0))^2 + (INDIRECT("R[-1]C[-8]",0) - INDIRECT("RC[-8]",0))^2)</f>
        <v>4.7594642555649056</v>
      </c>
    </row>
    <row r="23" spans="1:11" x14ac:dyDescent="0.25">
      <c r="A23">
        <f>AxisValue(A19,7)</f>
        <v>-2</v>
      </c>
      <c r="B23">
        <f>AxisValue(B19,7)</f>
        <v>-3.5</v>
      </c>
      <c r="C23">
        <f>AxisValue(C19,7)</f>
        <v>1.22</v>
      </c>
      <c r="D23">
        <f ca="1">SQRT(INDIRECT("RC[-3]",0)^2 + INDIRECT("RC[-2]",0)^2 + INDIRECT("RC[-1]",0)^2)</f>
        <v>4.2116979948709519</v>
      </c>
      <c r="E23">
        <f ca="1">SQRT((INDIRECT("R[-1]C[-4]",0) - INDIRECT("RC[-4]",0))^2 + (INDIRECT("R[-1]C[-3]",0) - INDIRECT("RC[-3]",0))^2 + (INDIRECT("R[-1]C[-2]",0) - INDIRECT("RC[-2]",0))^2)</f>
        <v>10.04664122978421</v>
      </c>
      <c r="F23">
        <f t="shared" ca="1" si="4"/>
        <v>5.33</v>
      </c>
      <c r="G23">
        <f t="shared" ca="1" si="4"/>
        <v>3.94</v>
      </c>
      <c r="H23">
        <f t="shared" ca="1" si="4"/>
        <v>7.55</v>
      </c>
      <c r="I23">
        <f ca="1">SQRT((INDIRECT("R[-1]C[-8]",0) - INDIRECT("RC[-8]",0))^2 + (INDIRECT("R[-1]C[-7]",0) - INDIRECT("RC[-7]",0))^2)</f>
        <v>6.6281596239076803</v>
      </c>
      <c r="J23">
        <f ca="1">SQRT((INDIRECT("R[-1]C[-9]",0) - INDIRECT("RC[-9]",0))^2 + (INDIRECT("R[-1]C[-7]",0) - INDIRECT("RC[-7]",0))^2)</f>
        <v>9.2418288233444361</v>
      </c>
      <c r="K23">
        <f ca="1">SQRT((INDIRECT("R[-1]C[-9]",0) - INDIRECT("RC[-9]",0))^2 + (INDIRECT("R[-1]C[-8]",0) - INDIRECT("RC[-8]",0))^2)</f>
        <v>8.516225689822928</v>
      </c>
    </row>
    <row r="24" spans="1:11" x14ac:dyDescent="0.25">
      <c r="A24">
        <f>AxisValue(A19,8)</f>
        <v>2.11</v>
      </c>
      <c r="B24">
        <f>AxisValue(B19,8)</f>
        <v>0.77</v>
      </c>
      <c r="C24">
        <f>AxisValue(C19,8)</f>
        <v>4.0090000000000003</v>
      </c>
      <c r="D24">
        <f ca="1">SQRT(INDIRECT("RC[-3]",0)^2 + INDIRECT("RC[-2]",0)^2 + INDIRECT("RC[-1]",0)^2)</f>
        <v>4.5953325233327789</v>
      </c>
      <c r="E24">
        <f ca="1">SQRT((INDIRECT("R[-1]C[-4]",0) - INDIRECT("RC[-4]",0))^2 + (INDIRECT("R[-1]C[-3]",0) - INDIRECT("RC[-3]",0))^2 + (INDIRECT("R[-1]C[-2]",0) - INDIRECT("RC[-2]",0))^2)</f>
        <v>6.5500779384676022</v>
      </c>
      <c r="F24">
        <f t="shared" ca="1" si="4"/>
        <v>4.1099999999999994</v>
      </c>
      <c r="G24">
        <f t="shared" ca="1" si="4"/>
        <v>4.2699999999999996</v>
      </c>
      <c r="H24">
        <f t="shared" ca="1" si="4"/>
        <v>2.7890000000000006</v>
      </c>
      <c r="I24">
        <f ca="1">SQRT((INDIRECT("R[-1]C[-8]",0) - INDIRECT("RC[-8]",0))^2 + (INDIRECT("R[-1]C[-7]",0) - INDIRECT("RC[-7]",0))^2)</f>
        <v>5.9266347955648486</v>
      </c>
      <c r="J24">
        <f ca="1">SQRT((INDIRECT("R[-1]C[-9]",0) - INDIRECT("RC[-9]",0))^2 + (INDIRECT("R[-1]C[-7]",0) - INDIRECT("RC[-7]",0))^2)</f>
        <v>4.9669528888444265</v>
      </c>
      <c r="K24">
        <f ca="1">SQRT((INDIRECT("R[-1]C[-9]",0) - INDIRECT("RC[-9]",0))^2 + (INDIRECT("R[-1]C[-8]",0) - INDIRECT("RC[-8]",0))^2)</f>
        <v>5.1001393118227663</v>
      </c>
    </row>
    <row r="25" spans="1:11" x14ac:dyDescent="0.25">
      <c r="D25" t="s">
        <v>4</v>
      </c>
      <c r="E25">
        <f t="shared" ref="E25:K25" ca="1" si="5">(INDIRECT("R[-1]C",0) + INDIRECT("R[-2]C",0) + INDIRECT("R[-3]C",0) + INDIRECT("R[-4]C",0))</f>
        <v>35.564484887633753</v>
      </c>
      <c r="F25">
        <f t="shared" ca="1" si="5"/>
        <v>13.469999999999999</v>
      </c>
      <c r="G25">
        <f t="shared" ca="1" si="5"/>
        <v>23.45</v>
      </c>
      <c r="H25">
        <f t="shared" ca="1" si="5"/>
        <v>20.509</v>
      </c>
      <c r="I25">
        <f t="shared" ca="1" si="5"/>
        <v>28.559345132744298</v>
      </c>
      <c r="J25">
        <f t="shared" ca="1" si="5"/>
        <v>25.442733916865691</v>
      </c>
      <c r="K25">
        <f t="shared" ca="1" si="5"/>
        <v>31.938277413793536</v>
      </c>
    </row>
    <row r="26" spans="1:11" x14ac:dyDescent="0.25">
      <c r="A26" t="s">
        <v>18</v>
      </c>
    </row>
    <row r="27" spans="1:11" x14ac:dyDescent="0.25">
      <c r="A27" s="1" t="s">
        <v>22</v>
      </c>
      <c r="B27" s="1" t="s">
        <v>24</v>
      </c>
      <c r="C27" s="1" t="s">
        <v>21</v>
      </c>
      <c r="D27" t="s">
        <v>10</v>
      </c>
      <c r="E27" t="s">
        <v>14</v>
      </c>
      <c r="F27" t="s">
        <v>13</v>
      </c>
      <c r="G27" t="s">
        <v>12</v>
      </c>
      <c r="H27" t="s">
        <v>11</v>
      </c>
      <c r="I27" t="s">
        <v>15</v>
      </c>
      <c r="J27" t="s">
        <v>16</v>
      </c>
      <c r="K27" t="s">
        <v>17</v>
      </c>
    </row>
    <row r="28" spans="1:11" x14ac:dyDescent="0.25">
      <c r="A28">
        <f>AxisValue(A27,4)</f>
        <v>2.7</v>
      </c>
      <c r="B28">
        <f>AxisValue(B27,4)</f>
        <v>-7.8</v>
      </c>
      <c r="C28">
        <f>AxisValue(C27,4)</f>
        <v>1.5</v>
      </c>
      <c r="D28">
        <f ca="1">SQRT(INDIRECT("RC[-3]",0)^2 + INDIRECT("RC[-2]",0)^2 + INDIRECT("RC[-1]",0)^2)</f>
        <v>8.3892788724657379</v>
      </c>
    </row>
    <row r="29" spans="1:11" x14ac:dyDescent="0.25">
      <c r="A29">
        <f>AxisValue(A27,5)</f>
        <v>1</v>
      </c>
      <c r="B29">
        <f>AxisValue(B27,5)</f>
        <v>3.5</v>
      </c>
      <c r="C29">
        <f>AxisValue(C27,5)</f>
        <v>9</v>
      </c>
      <c r="D29">
        <f ca="1">SQRT(INDIRECT("RC[-3]",0)^2 + INDIRECT("RC[-2]",0)^2 + INDIRECT("RC[-1]",0)^2)</f>
        <v>9.7082439194737997</v>
      </c>
      <c r="E29">
        <f ca="1">SQRT((INDIRECT("R[-1]C[-4]",0) - INDIRECT("RC[-4]",0))^2 + (INDIRECT("R[-1]C[-3]",0) - INDIRECT("RC[-3]",0))^2 + (INDIRECT("R[-1]C[-2]",0) - INDIRECT("RC[-2]",0))^2)</f>
        <v>13.668577102244404</v>
      </c>
      <c r="F29">
        <f t="shared" ref="F29:H32" ca="1" si="6">SQRT((INDIRECT("R[-1]C[-5]",0) - INDIRECT("RC[-5]",0))^2)</f>
        <v>1.7000000000000002</v>
      </c>
      <c r="G29">
        <f t="shared" ca="1" si="6"/>
        <v>11.3</v>
      </c>
      <c r="H29">
        <f t="shared" ca="1" si="6"/>
        <v>7.5</v>
      </c>
      <c r="I29">
        <f ca="1">SQRT((INDIRECT("R[-1]C[-8]",0) - INDIRECT("RC[-8]",0))^2 + (INDIRECT("R[-1]C[-7]",0) - INDIRECT("RC[-7]",0))^2)</f>
        <v>11.427160627207444</v>
      </c>
      <c r="J29">
        <f ca="1">SQRT((INDIRECT("R[-1]C[-9]",0) - INDIRECT("RC[-9]",0))^2 + (INDIRECT("R[-1]C[-7]",0) - INDIRECT("RC[-7]",0))^2)</f>
        <v>7.6902535718921516</v>
      </c>
      <c r="K29">
        <f ca="1">SQRT((INDIRECT("R[-1]C[-9]",0) - INDIRECT("RC[-9]",0))^2 + (INDIRECT("R[-1]C[-8]",0) - INDIRECT("RC[-8]",0))^2)</f>
        <v>13.56244815658294</v>
      </c>
    </row>
    <row r="30" spans="1:11" x14ac:dyDescent="0.25">
      <c r="A30">
        <f>AxisValue(A27,6)</f>
        <v>3.33</v>
      </c>
      <c r="B30">
        <f>AxisValue(B27,6)</f>
        <v>-0.44</v>
      </c>
      <c r="C30">
        <f>AxisValue(C27,6)</f>
        <v>6.33</v>
      </c>
      <c r="D30">
        <f ca="1">SQRT(INDIRECT("RC[-3]",0)^2 + INDIRECT("RC[-2]",0)^2 + INDIRECT("RC[-1]",0)^2)</f>
        <v>7.1659891152582693</v>
      </c>
      <c r="E30">
        <f ca="1">SQRT((INDIRECT("R[-1]C[-4]",0) - INDIRECT("RC[-4]",0))^2 + (INDIRECT("R[-1]C[-3]",0) - INDIRECT("RC[-3]",0))^2 + (INDIRECT("R[-1]C[-2]",0) - INDIRECT("RC[-2]",0))^2)</f>
        <v>5.2991886171375331</v>
      </c>
      <c r="F30">
        <f t="shared" ca="1" si="6"/>
        <v>2.33</v>
      </c>
      <c r="G30">
        <f t="shared" ca="1" si="6"/>
        <v>3.94</v>
      </c>
      <c r="H30">
        <f t="shared" ca="1" si="6"/>
        <v>2.67</v>
      </c>
      <c r="I30">
        <f ca="1">SQRT((INDIRECT("R[-1]C[-8]",0) - INDIRECT("RC[-8]",0))^2 + (INDIRECT("R[-1]C[-7]",0) - INDIRECT("RC[-7]",0))^2)</f>
        <v>4.5773900860643284</v>
      </c>
      <c r="J30">
        <f ca="1">SQRT((INDIRECT("R[-1]C[-9]",0) - INDIRECT("RC[-9]",0))^2 + (INDIRECT("R[-1]C[-7]",0) - INDIRECT("RC[-7]",0))^2)</f>
        <v>3.5436986327846784</v>
      </c>
      <c r="K30">
        <f ca="1">SQRT((INDIRECT("R[-1]C[-9]",0) - INDIRECT("RC[-9]",0))^2 + (INDIRECT("R[-1]C[-8]",0) - INDIRECT("RC[-8]",0))^2)</f>
        <v>4.7594642555649056</v>
      </c>
    </row>
    <row r="31" spans="1:11" x14ac:dyDescent="0.25">
      <c r="A31">
        <f>AxisValue(A27,7)</f>
        <v>-2</v>
      </c>
      <c r="B31">
        <f>AxisValue(B27,7)</f>
        <v>3.5</v>
      </c>
      <c r="C31">
        <f>AxisValue(C27,7)</f>
        <v>-1.22</v>
      </c>
      <c r="D31">
        <f ca="1">SQRT(INDIRECT("RC[-3]",0)^2 + INDIRECT("RC[-2]",0)^2 + INDIRECT("RC[-1]",0)^2)</f>
        <v>4.2116979948709519</v>
      </c>
      <c r="E31">
        <f ca="1">SQRT((INDIRECT("R[-1]C[-4]",0) - INDIRECT("RC[-4]",0))^2 + (INDIRECT("R[-1]C[-3]",0) - INDIRECT("RC[-3]",0))^2 + (INDIRECT("R[-1]C[-2]",0) - INDIRECT("RC[-2]",0))^2)</f>
        <v>10.04664122978421</v>
      </c>
      <c r="F31">
        <f t="shared" ca="1" si="6"/>
        <v>5.33</v>
      </c>
      <c r="G31">
        <f t="shared" ca="1" si="6"/>
        <v>3.94</v>
      </c>
      <c r="H31">
        <f t="shared" ca="1" si="6"/>
        <v>7.55</v>
      </c>
      <c r="I31">
        <f ca="1">SQRT((INDIRECT("R[-1]C[-8]",0) - INDIRECT("RC[-8]",0))^2 + (INDIRECT("R[-1]C[-7]",0) - INDIRECT("RC[-7]",0))^2)</f>
        <v>6.6281596239076803</v>
      </c>
      <c r="J31">
        <f ca="1">SQRT((INDIRECT("R[-1]C[-9]",0) - INDIRECT("RC[-9]",0))^2 + (INDIRECT("R[-1]C[-7]",0) - INDIRECT("RC[-7]",0))^2)</f>
        <v>9.2418288233444361</v>
      </c>
      <c r="K31">
        <f ca="1">SQRT((INDIRECT("R[-1]C[-9]",0) - INDIRECT("RC[-9]",0))^2 + (INDIRECT("R[-1]C[-8]",0) - INDIRECT("RC[-8]",0))^2)</f>
        <v>8.516225689822928</v>
      </c>
    </row>
    <row r="32" spans="1:11" x14ac:dyDescent="0.25">
      <c r="A32">
        <f>AxisValue(A27,8)</f>
        <v>2.11</v>
      </c>
      <c r="B32">
        <f>AxisValue(B27,8)</f>
        <v>-0.77</v>
      </c>
      <c r="C32">
        <f>AxisValue(C27,8)</f>
        <v>-4.0090000000000003</v>
      </c>
      <c r="D32">
        <f ca="1">SQRT(INDIRECT("RC[-3]",0)^2 + INDIRECT("RC[-2]",0)^2 + INDIRECT("RC[-1]",0)^2)</f>
        <v>4.5953325233327789</v>
      </c>
      <c r="E32">
        <f ca="1">SQRT((INDIRECT("R[-1]C[-4]",0) - INDIRECT("RC[-4]",0))^2 + (INDIRECT("R[-1]C[-3]",0) - INDIRECT("RC[-3]",0))^2 + (INDIRECT("R[-1]C[-2]",0) - INDIRECT("RC[-2]",0))^2)</f>
        <v>6.5500779384676022</v>
      </c>
      <c r="F32">
        <f t="shared" ca="1" si="6"/>
        <v>4.1099999999999994</v>
      </c>
      <c r="G32">
        <f t="shared" ca="1" si="6"/>
        <v>4.2699999999999996</v>
      </c>
      <c r="H32">
        <f t="shared" ca="1" si="6"/>
        <v>2.7890000000000006</v>
      </c>
      <c r="I32">
        <f ca="1">SQRT((INDIRECT("R[-1]C[-8]",0) - INDIRECT("RC[-8]",0))^2 + (INDIRECT("R[-1]C[-7]",0) - INDIRECT("RC[-7]",0))^2)</f>
        <v>5.9266347955648486</v>
      </c>
      <c r="J32">
        <f ca="1">SQRT((INDIRECT("R[-1]C[-9]",0) - INDIRECT("RC[-9]",0))^2 + (INDIRECT("R[-1]C[-7]",0) - INDIRECT("RC[-7]",0))^2)</f>
        <v>4.9669528888444265</v>
      </c>
      <c r="K32">
        <f ca="1">SQRT((INDIRECT("R[-1]C[-9]",0) - INDIRECT("RC[-9]",0))^2 + (INDIRECT("R[-1]C[-8]",0) - INDIRECT("RC[-8]",0))^2)</f>
        <v>5.1001393118227663</v>
      </c>
    </row>
    <row r="33" spans="1:11" x14ac:dyDescent="0.25">
      <c r="D33" t="s">
        <v>4</v>
      </c>
      <c r="E33">
        <f t="shared" ref="E33:K33" ca="1" si="7">(INDIRECT("R[-1]C",0) + INDIRECT("R[-2]C",0) + INDIRECT("R[-3]C",0) + INDIRECT("R[-4]C",0))</f>
        <v>35.564484887633753</v>
      </c>
      <c r="F33">
        <f t="shared" ca="1" si="7"/>
        <v>13.469999999999999</v>
      </c>
      <c r="G33">
        <f t="shared" ca="1" si="7"/>
        <v>23.45</v>
      </c>
      <c r="H33">
        <f t="shared" ca="1" si="7"/>
        <v>20.509</v>
      </c>
      <c r="I33">
        <f t="shared" ca="1" si="7"/>
        <v>28.559345132744298</v>
      </c>
      <c r="J33">
        <f t="shared" ca="1" si="7"/>
        <v>25.442733916865691</v>
      </c>
      <c r="K33">
        <f t="shared" ca="1" si="7"/>
        <v>31.938277413793536</v>
      </c>
    </row>
    <row r="34" spans="1:11" x14ac:dyDescent="0.25">
      <c r="A34" t="s">
        <v>18</v>
      </c>
    </row>
    <row r="35" spans="1:11" x14ac:dyDescent="0.25">
      <c r="A35" s="1" t="s">
        <v>22</v>
      </c>
      <c r="B35" s="1" t="s">
        <v>24</v>
      </c>
      <c r="C35" s="1" t="s">
        <v>26</v>
      </c>
      <c r="D35" t="s">
        <v>10</v>
      </c>
      <c r="E35" t="s">
        <v>14</v>
      </c>
      <c r="F35" t="s">
        <v>13</v>
      </c>
      <c r="G35" t="s">
        <v>12</v>
      </c>
      <c r="H35" t="s">
        <v>11</v>
      </c>
      <c r="I35" t="s">
        <v>15</v>
      </c>
      <c r="J35" t="s">
        <v>16</v>
      </c>
      <c r="K35" t="s">
        <v>17</v>
      </c>
    </row>
    <row r="36" spans="1:11" x14ac:dyDescent="0.25">
      <c r="A36">
        <f>AxisValue(A35,4)</f>
        <v>2.7</v>
      </c>
      <c r="B36">
        <f>AxisValue(B35,4)</f>
        <v>-7.8</v>
      </c>
      <c r="C36">
        <f>AxisValue(C35,4)</f>
        <v>-1.5</v>
      </c>
      <c r="D36">
        <f ca="1">SQRT(INDIRECT("RC[-3]",0)^2 + INDIRECT("RC[-2]",0)^2 + INDIRECT("RC[-1]",0)^2)</f>
        <v>8.3892788724657379</v>
      </c>
    </row>
    <row r="37" spans="1:11" x14ac:dyDescent="0.25">
      <c r="A37">
        <f>AxisValue(A35,5)</f>
        <v>1</v>
      </c>
      <c r="B37">
        <f>AxisValue(B35,5)</f>
        <v>3.5</v>
      </c>
      <c r="C37">
        <f>AxisValue(C35,5)</f>
        <v>-9</v>
      </c>
      <c r="D37">
        <f ca="1">SQRT(INDIRECT("RC[-3]",0)^2 + INDIRECT("RC[-2]",0)^2 + INDIRECT("RC[-1]",0)^2)</f>
        <v>9.7082439194737997</v>
      </c>
      <c r="E37">
        <f ca="1">SQRT((INDIRECT("R[-1]C[-4]",0) - INDIRECT("RC[-4]",0))^2 + (INDIRECT("R[-1]C[-3]",0) - INDIRECT("RC[-3]",0))^2 + (INDIRECT("R[-1]C[-2]",0) - INDIRECT("RC[-2]",0))^2)</f>
        <v>13.668577102244404</v>
      </c>
      <c r="F37">
        <f t="shared" ref="F37:H40" ca="1" si="8">SQRT((INDIRECT("R[-1]C[-5]",0) - INDIRECT("RC[-5]",0))^2)</f>
        <v>1.7000000000000002</v>
      </c>
      <c r="G37">
        <f t="shared" ca="1" si="8"/>
        <v>11.3</v>
      </c>
      <c r="H37">
        <f t="shared" ca="1" si="8"/>
        <v>7.5</v>
      </c>
      <c r="I37">
        <f ca="1">SQRT((INDIRECT("R[-1]C[-8]",0) - INDIRECT("RC[-8]",0))^2 + (INDIRECT("R[-1]C[-7]",0) - INDIRECT("RC[-7]",0))^2)</f>
        <v>11.427160627207444</v>
      </c>
      <c r="J37">
        <f ca="1">SQRT((INDIRECT("R[-1]C[-9]",0) - INDIRECT("RC[-9]",0))^2 + (INDIRECT("R[-1]C[-7]",0) - INDIRECT("RC[-7]",0))^2)</f>
        <v>7.6902535718921516</v>
      </c>
      <c r="K37">
        <f ca="1">SQRT((INDIRECT("R[-1]C[-9]",0) - INDIRECT("RC[-9]",0))^2 + (INDIRECT("R[-1]C[-8]",0) - INDIRECT("RC[-8]",0))^2)</f>
        <v>13.56244815658294</v>
      </c>
    </row>
    <row r="38" spans="1:11" x14ac:dyDescent="0.25">
      <c r="A38">
        <f>AxisValue(A35,6)</f>
        <v>3.33</v>
      </c>
      <c r="B38">
        <f>AxisValue(B35,6)</f>
        <v>-0.44</v>
      </c>
      <c r="C38">
        <f>AxisValue(C35,6)</f>
        <v>-6.33</v>
      </c>
      <c r="D38">
        <f ca="1">SQRT(INDIRECT("RC[-3]",0)^2 + INDIRECT("RC[-2]",0)^2 + INDIRECT("RC[-1]",0)^2)</f>
        <v>7.1659891152582693</v>
      </c>
      <c r="E38">
        <f ca="1">SQRT((INDIRECT("R[-1]C[-4]",0) - INDIRECT("RC[-4]",0))^2 + (INDIRECT("R[-1]C[-3]",0) - INDIRECT("RC[-3]",0))^2 + (INDIRECT("R[-1]C[-2]",0) - INDIRECT("RC[-2]",0))^2)</f>
        <v>5.2991886171375331</v>
      </c>
      <c r="F38">
        <f t="shared" ca="1" si="8"/>
        <v>2.33</v>
      </c>
      <c r="G38">
        <f t="shared" ca="1" si="8"/>
        <v>3.94</v>
      </c>
      <c r="H38">
        <f t="shared" ca="1" si="8"/>
        <v>2.67</v>
      </c>
      <c r="I38">
        <f ca="1">SQRT((INDIRECT("R[-1]C[-8]",0) - INDIRECT("RC[-8]",0))^2 + (INDIRECT("R[-1]C[-7]",0) - INDIRECT("RC[-7]",0))^2)</f>
        <v>4.5773900860643284</v>
      </c>
      <c r="J38">
        <f ca="1">SQRT((INDIRECT("R[-1]C[-9]",0) - INDIRECT("RC[-9]",0))^2 + (INDIRECT("R[-1]C[-7]",0) - INDIRECT("RC[-7]",0))^2)</f>
        <v>3.5436986327846784</v>
      </c>
      <c r="K38">
        <f ca="1">SQRT((INDIRECT("R[-1]C[-9]",0) - INDIRECT("RC[-9]",0))^2 + (INDIRECT("R[-1]C[-8]",0) - INDIRECT("RC[-8]",0))^2)</f>
        <v>4.7594642555649056</v>
      </c>
    </row>
    <row r="39" spans="1:11" x14ac:dyDescent="0.25">
      <c r="A39">
        <f>AxisValue(A35,7)</f>
        <v>-2</v>
      </c>
      <c r="B39">
        <f>AxisValue(B35,7)</f>
        <v>3.5</v>
      </c>
      <c r="C39">
        <f>AxisValue(C35,7)</f>
        <v>1.22</v>
      </c>
      <c r="D39">
        <f ca="1">SQRT(INDIRECT("RC[-3]",0)^2 + INDIRECT("RC[-2]",0)^2 + INDIRECT("RC[-1]",0)^2)</f>
        <v>4.2116979948709519</v>
      </c>
      <c r="E39">
        <f ca="1">SQRT((INDIRECT("R[-1]C[-4]",0) - INDIRECT("RC[-4]",0))^2 + (INDIRECT("R[-1]C[-3]",0) - INDIRECT("RC[-3]",0))^2 + (INDIRECT("R[-1]C[-2]",0) - INDIRECT("RC[-2]",0))^2)</f>
        <v>10.04664122978421</v>
      </c>
      <c r="F39">
        <f t="shared" ca="1" si="8"/>
        <v>5.33</v>
      </c>
      <c r="G39">
        <f t="shared" ca="1" si="8"/>
        <v>3.94</v>
      </c>
      <c r="H39">
        <f t="shared" ca="1" si="8"/>
        <v>7.55</v>
      </c>
      <c r="I39">
        <f ca="1">SQRT((INDIRECT("R[-1]C[-8]",0) - INDIRECT("RC[-8]",0))^2 + (INDIRECT("R[-1]C[-7]",0) - INDIRECT("RC[-7]",0))^2)</f>
        <v>6.6281596239076803</v>
      </c>
      <c r="J39">
        <f ca="1">SQRT((INDIRECT("R[-1]C[-9]",0) - INDIRECT("RC[-9]",0))^2 + (INDIRECT("R[-1]C[-7]",0) - INDIRECT("RC[-7]",0))^2)</f>
        <v>9.2418288233444361</v>
      </c>
      <c r="K39">
        <f ca="1">SQRT((INDIRECT("R[-1]C[-9]",0) - INDIRECT("RC[-9]",0))^2 + (INDIRECT("R[-1]C[-8]",0) - INDIRECT("RC[-8]",0))^2)</f>
        <v>8.516225689822928</v>
      </c>
    </row>
    <row r="40" spans="1:11" x14ac:dyDescent="0.25">
      <c r="A40">
        <f>AxisValue(A35,8)</f>
        <v>2.11</v>
      </c>
      <c r="B40">
        <f>AxisValue(B35,8)</f>
        <v>-0.77</v>
      </c>
      <c r="C40">
        <f>AxisValue(C35,8)</f>
        <v>4.0090000000000003</v>
      </c>
      <c r="D40">
        <f ca="1">SQRT(INDIRECT("RC[-3]",0)^2 + INDIRECT("RC[-2]",0)^2 + INDIRECT("RC[-1]",0)^2)</f>
        <v>4.5953325233327789</v>
      </c>
      <c r="E40">
        <f ca="1">SQRT((INDIRECT("R[-1]C[-4]",0) - INDIRECT("RC[-4]",0))^2 + (INDIRECT("R[-1]C[-3]",0) - INDIRECT("RC[-3]",0))^2 + (INDIRECT("R[-1]C[-2]",0) - INDIRECT("RC[-2]",0))^2)</f>
        <v>6.5500779384676022</v>
      </c>
      <c r="F40">
        <f t="shared" ca="1" si="8"/>
        <v>4.1099999999999994</v>
      </c>
      <c r="G40">
        <f t="shared" ca="1" si="8"/>
        <v>4.2699999999999996</v>
      </c>
      <c r="H40">
        <f t="shared" ca="1" si="8"/>
        <v>2.7890000000000006</v>
      </c>
      <c r="I40">
        <f ca="1">SQRT((INDIRECT("R[-1]C[-8]",0) - INDIRECT("RC[-8]",0))^2 + (INDIRECT("R[-1]C[-7]",0) - INDIRECT("RC[-7]",0))^2)</f>
        <v>5.9266347955648486</v>
      </c>
      <c r="J40">
        <f ca="1">SQRT((INDIRECT("R[-1]C[-9]",0) - INDIRECT("RC[-9]",0))^2 + (INDIRECT("R[-1]C[-7]",0) - INDIRECT("RC[-7]",0))^2)</f>
        <v>4.9669528888444265</v>
      </c>
      <c r="K40">
        <f ca="1">SQRT((INDIRECT("R[-1]C[-9]",0) - INDIRECT("RC[-9]",0))^2 + (INDIRECT("R[-1]C[-8]",0) - INDIRECT("RC[-8]",0))^2)</f>
        <v>5.1001393118227663</v>
      </c>
    </row>
    <row r="41" spans="1:11" x14ac:dyDescent="0.25">
      <c r="D41" t="s">
        <v>4</v>
      </c>
      <c r="E41">
        <f t="shared" ref="E41:K41" ca="1" si="9">(INDIRECT("R[-1]C",0) + INDIRECT("R[-2]C",0) + INDIRECT("R[-3]C",0) + INDIRECT("R[-4]C",0))</f>
        <v>35.564484887633753</v>
      </c>
      <c r="F41">
        <f t="shared" ca="1" si="9"/>
        <v>13.469999999999999</v>
      </c>
      <c r="G41">
        <f t="shared" ca="1" si="9"/>
        <v>23.45</v>
      </c>
      <c r="H41">
        <f t="shared" ca="1" si="9"/>
        <v>20.509</v>
      </c>
      <c r="I41">
        <f t="shared" ca="1" si="9"/>
        <v>28.559345132744298</v>
      </c>
      <c r="J41">
        <f t="shared" ca="1" si="9"/>
        <v>25.442733916865691</v>
      </c>
      <c r="K41">
        <f t="shared" ca="1" si="9"/>
        <v>31.938277413793536</v>
      </c>
    </row>
    <row r="42" spans="1:11" x14ac:dyDescent="0.25">
      <c r="A42" t="s">
        <v>18</v>
      </c>
    </row>
    <row r="43" spans="1:11" x14ac:dyDescent="0.25">
      <c r="A43" s="1" t="s">
        <v>25</v>
      </c>
      <c r="B43" s="1" t="s">
        <v>23</v>
      </c>
      <c r="C43" s="1" t="s">
        <v>21</v>
      </c>
      <c r="D43" t="s">
        <v>10</v>
      </c>
      <c r="E43" t="s">
        <v>14</v>
      </c>
      <c r="F43" t="s">
        <v>13</v>
      </c>
      <c r="G43" t="s">
        <v>12</v>
      </c>
      <c r="H43" t="s">
        <v>11</v>
      </c>
      <c r="I43" t="s">
        <v>15</v>
      </c>
      <c r="J43" t="s">
        <v>16</v>
      </c>
      <c r="K43" t="s">
        <v>17</v>
      </c>
    </row>
    <row r="44" spans="1:11" x14ac:dyDescent="0.25">
      <c r="A44">
        <f>AxisValue(A43,4)</f>
        <v>-2.7</v>
      </c>
      <c r="B44">
        <f>AxisValue(B43,4)</f>
        <v>7.8</v>
      </c>
      <c r="C44">
        <f>AxisValue(C43,4)</f>
        <v>1.5</v>
      </c>
      <c r="D44">
        <f ca="1">SQRT(INDIRECT("RC[-3]",0)^2 + INDIRECT("RC[-2]",0)^2 + INDIRECT("RC[-1]",0)^2)</f>
        <v>8.3892788724657379</v>
      </c>
    </row>
    <row r="45" spans="1:11" x14ac:dyDescent="0.25">
      <c r="A45">
        <f>AxisValue(A43,5)</f>
        <v>-1</v>
      </c>
      <c r="B45">
        <f>AxisValue(B43,5)</f>
        <v>-3.5</v>
      </c>
      <c r="C45">
        <f>AxisValue(C43,5)</f>
        <v>9</v>
      </c>
      <c r="D45">
        <f ca="1">SQRT(INDIRECT("RC[-3]",0)^2 + INDIRECT("RC[-2]",0)^2 + INDIRECT("RC[-1]",0)^2)</f>
        <v>9.7082439194737997</v>
      </c>
      <c r="E45">
        <f ca="1">SQRT((INDIRECT("R[-1]C[-4]",0) - INDIRECT("RC[-4]",0))^2 + (INDIRECT("R[-1]C[-3]",0) - INDIRECT("RC[-3]",0))^2 + (INDIRECT("R[-1]C[-2]",0) - INDIRECT("RC[-2]",0))^2)</f>
        <v>13.668577102244404</v>
      </c>
      <c r="F45">
        <f t="shared" ref="F45:H48" ca="1" si="10">SQRT((INDIRECT("R[-1]C[-5]",0) - INDIRECT("RC[-5]",0))^2)</f>
        <v>1.7000000000000002</v>
      </c>
      <c r="G45">
        <f t="shared" ca="1" si="10"/>
        <v>11.3</v>
      </c>
      <c r="H45">
        <f t="shared" ca="1" si="10"/>
        <v>7.5</v>
      </c>
      <c r="I45">
        <f ca="1">SQRT((INDIRECT("R[-1]C[-8]",0) - INDIRECT("RC[-8]",0))^2 + (INDIRECT("R[-1]C[-7]",0) - INDIRECT("RC[-7]",0))^2)</f>
        <v>11.427160627207444</v>
      </c>
      <c r="J45">
        <f ca="1">SQRT((INDIRECT("R[-1]C[-9]",0) - INDIRECT("RC[-9]",0))^2 + (INDIRECT("R[-1]C[-7]",0) - INDIRECT("RC[-7]",0))^2)</f>
        <v>7.6902535718921516</v>
      </c>
      <c r="K45">
        <f ca="1">SQRT((INDIRECT("R[-1]C[-9]",0) - INDIRECT("RC[-9]",0))^2 + (INDIRECT("R[-1]C[-8]",0) - INDIRECT("RC[-8]",0))^2)</f>
        <v>13.56244815658294</v>
      </c>
    </row>
    <row r="46" spans="1:11" x14ac:dyDescent="0.25">
      <c r="A46">
        <f>AxisValue(A43,6)</f>
        <v>-3.33</v>
      </c>
      <c r="B46">
        <f>AxisValue(B43,6)</f>
        <v>0.44</v>
      </c>
      <c r="C46">
        <f>AxisValue(C43,6)</f>
        <v>6.33</v>
      </c>
      <c r="D46">
        <f ca="1">SQRT(INDIRECT("RC[-3]",0)^2 + INDIRECT("RC[-2]",0)^2 + INDIRECT("RC[-1]",0)^2)</f>
        <v>7.1659891152582693</v>
      </c>
      <c r="E46">
        <f ca="1">SQRT((INDIRECT("R[-1]C[-4]",0) - INDIRECT("RC[-4]",0))^2 + (INDIRECT("R[-1]C[-3]",0) - INDIRECT("RC[-3]",0))^2 + (INDIRECT("R[-1]C[-2]",0) - INDIRECT("RC[-2]",0))^2)</f>
        <v>5.2991886171375331</v>
      </c>
      <c r="F46">
        <f t="shared" ca="1" si="10"/>
        <v>2.33</v>
      </c>
      <c r="G46">
        <f t="shared" ca="1" si="10"/>
        <v>3.94</v>
      </c>
      <c r="H46">
        <f t="shared" ca="1" si="10"/>
        <v>2.67</v>
      </c>
      <c r="I46">
        <f ca="1">SQRT((INDIRECT("R[-1]C[-8]",0) - INDIRECT("RC[-8]",0))^2 + (INDIRECT("R[-1]C[-7]",0) - INDIRECT("RC[-7]",0))^2)</f>
        <v>4.5773900860643284</v>
      </c>
      <c r="J46">
        <f ca="1">SQRT((INDIRECT("R[-1]C[-9]",0) - INDIRECT("RC[-9]",0))^2 + (INDIRECT("R[-1]C[-7]",0) - INDIRECT("RC[-7]",0))^2)</f>
        <v>3.5436986327846784</v>
      </c>
      <c r="K46">
        <f ca="1">SQRT((INDIRECT("R[-1]C[-9]",0) - INDIRECT("RC[-9]",0))^2 + (INDIRECT("R[-1]C[-8]",0) - INDIRECT("RC[-8]",0))^2)</f>
        <v>4.7594642555649056</v>
      </c>
    </row>
    <row r="47" spans="1:11" x14ac:dyDescent="0.25">
      <c r="A47">
        <f>AxisValue(A43,7)</f>
        <v>2</v>
      </c>
      <c r="B47">
        <f>AxisValue(B43,7)</f>
        <v>-3.5</v>
      </c>
      <c r="C47">
        <f>AxisValue(C43,7)</f>
        <v>-1.22</v>
      </c>
      <c r="D47">
        <f ca="1">SQRT(INDIRECT("RC[-3]",0)^2 + INDIRECT("RC[-2]",0)^2 + INDIRECT("RC[-1]",0)^2)</f>
        <v>4.2116979948709519</v>
      </c>
      <c r="E47">
        <f ca="1">SQRT((INDIRECT("R[-1]C[-4]",0) - INDIRECT("RC[-4]",0))^2 + (INDIRECT("R[-1]C[-3]",0) - INDIRECT("RC[-3]",0))^2 + (INDIRECT("R[-1]C[-2]",0) - INDIRECT("RC[-2]",0))^2)</f>
        <v>10.04664122978421</v>
      </c>
      <c r="F47">
        <f t="shared" ca="1" si="10"/>
        <v>5.33</v>
      </c>
      <c r="G47">
        <f t="shared" ca="1" si="10"/>
        <v>3.94</v>
      </c>
      <c r="H47">
        <f t="shared" ca="1" si="10"/>
        <v>7.55</v>
      </c>
      <c r="I47">
        <f ca="1">SQRT((INDIRECT("R[-1]C[-8]",0) - INDIRECT("RC[-8]",0))^2 + (INDIRECT("R[-1]C[-7]",0) - INDIRECT("RC[-7]",0))^2)</f>
        <v>6.6281596239076803</v>
      </c>
      <c r="J47">
        <f ca="1">SQRT((INDIRECT("R[-1]C[-9]",0) - INDIRECT("RC[-9]",0))^2 + (INDIRECT("R[-1]C[-7]",0) - INDIRECT("RC[-7]",0))^2)</f>
        <v>9.2418288233444361</v>
      </c>
      <c r="K47">
        <f ca="1">SQRT((INDIRECT("R[-1]C[-9]",0) - INDIRECT("RC[-9]",0))^2 + (INDIRECT("R[-1]C[-8]",0) - INDIRECT("RC[-8]",0))^2)</f>
        <v>8.516225689822928</v>
      </c>
    </row>
    <row r="48" spans="1:11" x14ac:dyDescent="0.25">
      <c r="A48">
        <f>AxisValue(A43,8)</f>
        <v>-2.11</v>
      </c>
      <c r="B48">
        <f>AxisValue(B43,8)</f>
        <v>0.77</v>
      </c>
      <c r="C48">
        <f>AxisValue(C43,8)</f>
        <v>-4.0090000000000003</v>
      </c>
      <c r="D48">
        <f ca="1">SQRT(INDIRECT("RC[-3]",0)^2 + INDIRECT("RC[-2]",0)^2 + INDIRECT("RC[-1]",0)^2)</f>
        <v>4.5953325233327789</v>
      </c>
      <c r="E48">
        <f ca="1">SQRT((INDIRECT("R[-1]C[-4]",0) - INDIRECT("RC[-4]",0))^2 + (INDIRECT("R[-1]C[-3]",0) - INDIRECT("RC[-3]",0))^2 + (INDIRECT("R[-1]C[-2]",0) - INDIRECT("RC[-2]",0))^2)</f>
        <v>6.5500779384676022</v>
      </c>
      <c r="F48">
        <f t="shared" ca="1" si="10"/>
        <v>4.1099999999999994</v>
      </c>
      <c r="G48">
        <f t="shared" ca="1" si="10"/>
        <v>4.2699999999999996</v>
      </c>
      <c r="H48">
        <f t="shared" ca="1" si="10"/>
        <v>2.7890000000000006</v>
      </c>
      <c r="I48">
        <f ca="1">SQRT((INDIRECT("R[-1]C[-8]",0) - INDIRECT("RC[-8]",0))^2 + (INDIRECT("R[-1]C[-7]",0) - INDIRECT("RC[-7]",0))^2)</f>
        <v>5.9266347955648486</v>
      </c>
      <c r="J48">
        <f ca="1">SQRT((INDIRECT("R[-1]C[-9]",0) - INDIRECT("RC[-9]",0))^2 + (INDIRECT("R[-1]C[-7]",0) - INDIRECT("RC[-7]",0))^2)</f>
        <v>4.9669528888444265</v>
      </c>
      <c r="K48">
        <f ca="1">SQRT((INDIRECT("R[-1]C[-9]",0) - INDIRECT("RC[-9]",0))^2 + (INDIRECT("R[-1]C[-8]",0) - INDIRECT("RC[-8]",0))^2)</f>
        <v>5.1001393118227663</v>
      </c>
    </row>
    <row r="49" spans="1:11" x14ac:dyDescent="0.25">
      <c r="D49" t="s">
        <v>4</v>
      </c>
      <c r="E49">
        <f t="shared" ref="E49:K49" ca="1" si="11">(INDIRECT("R[-1]C",0) + INDIRECT("R[-2]C",0) + INDIRECT("R[-3]C",0) + INDIRECT("R[-4]C",0))</f>
        <v>35.564484887633753</v>
      </c>
      <c r="F49">
        <f t="shared" ca="1" si="11"/>
        <v>13.469999999999999</v>
      </c>
      <c r="G49">
        <f t="shared" ca="1" si="11"/>
        <v>23.45</v>
      </c>
      <c r="H49">
        <f t="shared" ca="1" si="11"/>
        <v>20.509</v>
      </c>
      <c r="I49">
        <f t="shared" ca="1" si="11"/>
        <v>28.559345132744298</v>
      </c>
      <c r="J49">
        <f t="shared" ca="1" si="11"/>
        <v>25.442733916865691</v>
      </c>
      <c r="K49">
        <f t="shared" ca="1" si="11"/>
        <v>31.938277413793536</v>
      </c>
    </row>
    <row r="50" spans="1:11" x14ac:dyDescent="0.25">
      <c r="A50" t="s">
        <v>18</v>
      </c>
    </row>
    <row r="51" spans="1:11" x14ac:dyDescent="0.25">
      <c r="A51" s="1" t="s">
        <v>25</v>
      </c>
      <c r="B51" s="1" t="s">
        <v>23</v>
      </c>
      <c r="C51" s="1" t="s">
        <v>26</v>
      </c>
      <c r="D51" t="s">
        <v>10</v>
      </c>
      <c r="E51" t="s">
        <v>14</v>
      </c>
      <c r="F51" t="s">
        <v>13</v>
      </c>
      <c r="G51" t="s">
        <v>12</v>
      </c>
      <c r="H51" t="s">
        <v>11</v>
      </c>
      <c r="I51" t="s">
        <v>15</v>
      </c>
      <c r="J51" t="s">
        <v>16</v>
      </c>
      <c r="K51" t="s">
        <v>17</v>
      </c>
    </row>
    <row r="52" spans="1:11" x14ac:dyDescent="0.25">
      <c r="A52">
        <f>AxisValue(A51,4)</f>
        <v>-2.7</v>
      </c>
      <c r="B52">
        <f>AxisValue(B51,4)</f>
        <v>7.8</v>
      </c>
      <c r="C52">
        <f>AxisValue(C51,4)</f>
        <v>-1.5</v>
      </c>
      <c r="D52">
        <f ca="1">SQRT(INDIRECT("RC[-3]",0)^2 + INDIRECT("RC[-2]",0)^2 + INDIRECT("RC[-1]",0)^2)</f>
        <v>8.3892788724657379</v>
      </c>
    </row>
    <row r="53" spans="1:11" x14ac:dyDescent="0.25">
      <c r="A53">
        <f>AxisValue(A51,5)</f>
        <v>-1</v>
      </c>
      <c r="B53">
        <f>AxisValue(B51,5)</f>
        <v>-3.5</v>
      </c>
      <c r="C53">
        <f>AxisValue(C51,5)</f>
        <v>-9</v>
      </c>
      <c r="D53">
        <f ca="1">SQRT(INDIRECT("RC[-3]",0)^2 + INDIRECT("RC[-2]",0)^2 + INDIRECT("RC[-1]",0)^2)</f>
        <v>9.7082439194737997</v>
      </c>
      <c r="E53">
        <f ca="1">SQRT((INDIRECT("R[-1]C[-4]",0) - INDIRECT("RC[-4]",0))^2 + (INDIRECT("R[-1]C[-3]",0) - INDIRECT("RC[-3]",0))^2 + (INDIRECT("R[-1]C[-2]",0) - INDIRECT("RC[-2]",0))^2)</f>
        <v>13.668577102244404</v>
      </c>
      <c r="F53">
        <f t="shared" ref="F53:H56" ca="1" si="12">SQRT((INDIRECT("R[-1]C[-5]",0) - INDIRECT("RC[-5]",0))^2)</f>
        <v>1.7000000000000002</v>
      </c>
      <c r="G53">
        <f t="shared" ca="1" si="12"/>
        <v>11.3</v>
      </c>
      <c r="H53">
        <f t="shared" ca="1" si="12"/>
        <v>7.5</v>
      </c>
      <c r="I53">
        <f ca="1">SQRT((INDIRECT("R[-1]C[-8]",0) - INDIRECT("RC[-8]",0))^2 + (INDIRECT("R[-1]C[-7]",0) - INDIRECT("RC[-7]",0))^2)</f>
        <v>11.427160627207444</v>
      </c>
      <c r="J53">
        <f ca="1">SQRT((INDIRECT("R[-1]C[-9]",0) - INDIRECT("RC[-9]",0))^2 + (INDIRECT("R[-1]C[-7]",0) - INDIRECT("RC[-7]",0))^2)</f>
        <v>7.6902535718921516</v>
      </c>
      <c r="K53">
        <f ca="1">SQRT((INDIRECT("R[-1]C[-9]",0) - INDIRECT("RC[-9]",0))^2 + (INDIRECT("R[-1]C[-8]",0) - INDIRECT("RC[-8]",0))^2)</f>
        <v>13.56244815658294</v>
      </c>
    </row>
    <row r="54" spans="1:11" x14ac:dyDescent="0.25">
      <c r="A54">
        <f>AxisValue(A51,6)</f>
        <v>-3.33</v>
      </c>
      <c r="B54">
        <f>AxisValue(B51,6)</f>
        <v>0.44</v>
      </c>
      <c r="C54">
        <f>AxisValue(C51,6)</f>
        <v>-6.33</v>
      </c>
      <c r="D54">
        <f ca="1">SQRT(INDIRECT("RC[-3]",0)^2 + INDIRECT("RC[-2]",0)^2 + INDIRECT("RC[-1]",0)^2)</f>
        <v>7.1659891152582693</v>
      </c>
      <c r="E54">
        <f ca="1">SQRT((INDIRECT("R[-1]C[-4]",0) - INDIRECT("RC[-4]",0))^2 + (INDIRECT("R[-1]C[-3]",0) - INDIRECT("RC[-3]",0))^2 + (INDIRECT("R[-1]C[-2]",0) - INDIRECT("RC[-2]",0))^2)</f>
        <v>5.2991886171375331</v>
      </c>
      <c r="F54">
        <f t="shared" ca="1" si="12"/>
        <v>2.33</v>
      </c>
      <c r="G54">
        <f t="shared" ca="1" si="12"/>
        <v>3.94</v>
      </c>
      <c r="H54">
        <f t="shared" ca="1" si="12"/>
        <v>2.67</v>
      </c>
      <c r="I54">
        <f ca="1">SQRT((INDIRECT("R[-1]C[-8]",0) - INDIRECT("RC[-8]",0))^2 + (INDIRECT("R[-1]C[-7]",0) - INDIRECT("RC[-7]",0))^2)</f>
        <v>4.5773900860643284</v>
      </c>
      <c r="J54">
        <f ca="1">SQRT((INDIRECT("R[-1]C[-9]",0) - INDIRECT("RC[-9]",0))^2 + (INDIRECT("R[-1]C[-7]",0) - INDIRECT("RC[-7]",0))^2)</f>
        <v>3.5436986327846784</v>
      </c>
      <c r="K54">
        <f ca="1">SQRT((INDIRECT("R[-1]C[-9]",0) - INDIRECT("RC[-9]",0))^2 + (INDIRECT("R[-1]C[-8]",0) - INDIRECT("RC[-8]",0))^2)</f>
        <v>4.7594642555649056</v>
      </c>
    </row>
    <row r="55" spans="1:11" x14ac:dyDescent="0.25">
      <c r="A55">
        <f>AxisValue(A51,7)</f>
        <v>2</v>
      </c>
      <c r="B55">
        <f>AxisValue(B51,7)</f>
        <v>-3.5</v>
      </c>
      <c r="C55">
        <f>AxisValue(C51,7)</f>
        <v>1.22</v>
      </c>
      <c r="D55">
        <f ca="1">SQRT(INDIRECT("RC[-3]",0)^2 + INDIRECT("RC[-2]",0)^2 + INDIRECT("RC[-1]",0)^2)</f>
        <v>4.2116979948709519</v>
      </c>
      <c r="E55">
        <f ca="1">SQRT((INDIRECT("R[-1]C[-4]",0) - INDIRECT("RC[-4]",0))^2 + (INDIRECT("R[-1]C[-3]",0) - INDIRECT("RC[-3]",0))^2 + (INDIRECT("R[-1]C[-2]",0) - INDIRECT("RC[-2]",0))^2)</f>
        <v>10.04664122978421</v>
      </c>
      <c r="F55">
        <f t="shared" ca="1" si="12"/>
        <v>5.33</v>
      </c>
      <c r="G55">
        <f t="shared" ca="1" si="12"/>
        <v>3.94</v>
      </c>
      <c r="H55">
        <f t="shared" ca="1" si="12"/>
        <v>7.55</v>
      </c>
      <c r="I55">
        <f ca="1">SQRT((INDIRECT("R[-1]C[-8]",0) - INDIRECT("RC[-8]",0))^2 + (INDIRECT("R[-1]C[-7]",0) - INDIRECT("RC[-7]",0))^2)</f>
        <v>6.6281596239076803</v>
      </c>
      <c r="J55">
        <f ca="1">SQRT((INDIRECT("R[-1]C[-9]",0) - INDIRECT("RC[-9]",0))^2 + (INDIRECT("R[-1]C[-7]",0) - INDIRECT("RC[-7]",0))^2)</f>
        <v>9.2418288233444361</v>
      </c>
      <c r="K55">
        <f ca="1">SQRT((INDIRECT("R[-1]C[-9]",0) - INDIRECT("RC[-9]",0))^2 + (INDIRECT("R[-1]C[-8]",0) - INDIRECT("RC[-8]",0))^2)</f>
        <v>8.516225689822928</v>
      </c>
    </row>
    <row r="56" spans="1:11" x14ac:dyDescent="0.25">
      <c r="A56">
        <f>AxisValue(A51,8)</f>
        <v>-2.11</v>
      </c>
      <c r="B56">
        <f>AxisValue(B51,8)</f>
        <v>0.77</v>
      </c>
      <c r="C56">
        <f>AxisValue(C51,8)</f>
        <v>4.0090000000000003</v>
      </c>
      <c r="D56">
        <f ca="1">SQRT(INDIRECT("RC[-3]",0)^2 + INDIRECT("RC[-2]",0)^2 + INDIRECT("RC[-1]",0)^2)</f>
        <v>4.5953325233327789</v>
      </c>
      <c r="E56">
        <f ca="1">SQRT((INDIRECT("R[-1]C[-4]",0) - INDIRECT("RC[-4]",0))^2 + (INDIRECT("R[-1]C[-3]",0) - INDIRECT("RC[-3]",0))^2 + (INDIRECT("R[-1]C[-2]",0) - INDIRECT("RC[-2]",0))^2)</f>
        <v>6.5500779384676022</v>
      </c>
      <c r="F56">
        <f t="shared" ca="1" si="12"/>
        <v>4.1099999999999994</v>
      </c>
      <c r="G56">
        <f t="shared" ca="1" si="12"/>
        <v>4.2699999999999996</v>
      </c>
      <c r="H56">
        <f t="shared" ca="1" si="12"/>
        <v>2.7890000000000006</v>
      </c>
      <c r="I56">
        <f ca="1">SQRT((INDIRECT("R[-1]C[-8]",0) - INDIRECT("RC[-8]",0))^2 + (INDIRECT("R[-1]C[-7]",0) - INDIRECT("RC[-7]",0))^2)</f>
        <v>5.9266347955648486</v>
      </c>
      <c r="J56">
        <f ca="1">SQRT((INDIRECT("R[-1]C[-9]",0) - INDIRECT("RC[-9]",0))^2 + (INDIRECT("R[-1]C[-7]",0) - INDIRECT("RC[-7]",0))^2)</f>
        <v>4.9669528888444265</v>
      </c>
      <c r="K56">
        <f ca="1">SQRT((INDIRECT("R[-1]C[-9]",0) - INDIRECT("RC[-9]",0))^2 + (INDIRECT("R[-1]C[-8]",0) - INDIRECT("RC[-8]",0))^2)</f>
        <v>5.1001393118227663</v>
      </c>
    </row>
    <row r="57" spans="1:11" x14ac:dyDescent="0.25">
      <c r="D57" t="s">
        <v>4</v>
      </c>
      <c r="E57">
        <f t="shared" ref="E57:K57" ca="1" si="13">(INDIRECT("R[-1]C",0) + INDIRECT("R[-2]C",0) + INDIRECT("R[-3]C",0) + INDIRECT("R[-4]C",0))</f>
        <v>35.564484887633753</v>
      </c>
      <c r="F57">
        <f t="shared" ca="1" si="13"/>
        <v>13.469999999999999</v>
      </c>
      <c r="G57">
        <f t="shared" ca="1" si="13"/>
        <v>23.45</v>
      </c>
      <c r="H57">
        <f t="shared" ca="1" si="13"/>
        <v>20.509</v>
      </c>
      <c r="I57">
        <f t="shared" ca="1" si="13"/>
        <v>28.559345132744298</v>
      </c>
      <c r="J57">
        <f t="shared" ca="1" si="13"/>
        <v>25.442733916865691</v>
      </c>
      <c r="K57">
        <f t="shared" ca="1" si="13"/>
        <v>31.938277413793536</v>
      </c>
    </row>
    <row r="58" spans="1:11" x14ac:dyDescent="0.25">
      <c r="A58" t="s">
        <v>18</v>
      </c>
    </row>
    <row r="59" spans="1:11" x14ac:dyDescent="0.25">
      <c r="A59" s="1" t="s">
        <v>25</v>
      </c>
      <c r="B59" s="1" t="s">
        <v>24</v>
      </c>
      <c r="C59" s="1" t="s">
        <v>21</v>
      </c>
      <c r="D59" t="s">
        <v>10</v>
      </c>
      <c r="E59" t="s">
        <v>14</v>
      </c>
      <c r="F59" t="s">
        <v>13</v>
      </c>
      <c r="G59" t="s">
        <v>12</v>
      </c>
      <c r="H59" t="s">
        <v>11</v>
      </c>
      <c r="I59" t="s">
        <v>15</v>
      </c>
      <c r="J59" t="s">
        <v>16</v>
      </c>
      <c r="K59" t="s">
        <v>17</v>
      </c>
    </row>
    <row r="60" spans="1:11" x14ac:dyDescent="0.25">
      <c r="A60">
        <f>AxisValue(A59,4)</f>
        <v>-2.7</v>
      </c>
      <c r="B60">
        <f>AxisValue(B59,4)</f>
        <v>-7.8</v>
      </c>
      <c r="C60">
        <f>AxisValue(C59,4)</f>
        <v>1.5</v>
      </c>
      <c r="D60">
        <f ca="1">SQRT(INDIRECT("RC[-3]",0)^2 + INDIRECT("RC[-2]",0)^2 + INDIRECT("RC[-1]",0)^2)</f>
        <v>8.3892788724657379</v>
      </c>
    </row>
    <row r="61" spans="1:11" x14ac:dyDescent="0.25">
      <c r="A61">
        <f>AxisValue(A59,5)</f>
        <v>-1</v>
      </c>
      <c r="B61">
        <f>AxisValue(B59,5)</f>
        <v>3.5</v>
      </c>
      <c r="C61">
        <f>AxisValue(C59,5)</f>
        <v>9</v>
      </c>
      <c r="D61">
        <f ca="1">SQRT(INDIRECT("RC[-3]",0)^2 + INDIRECT("RC[-2]",0)^2 + INDIRECT("RC[-1]",0)^2)</f>
        <v>9.7082439194737997</v>
      </c>
      <c r="E61">
        <f ca="1">SQRT((INDIRECT("R[-1]C[-4]",0) - INDIRECT("RC[-4]",0))^2 + (INDIRECT("R[-1]C[-3]",0) - INDIRECT("RC[-3]",0))^2 + (INDIRECT("R[-1]C[-2]",0) - INDIRECT("RC[-2]",0))^2)</f>
        <v>13.668577102244404</v>
      </c>
      <c r="F61">
        <f t="shared" ref="F61:H64" ca="1" si="14">SQRT((INDIRECT("R[-1]C[-5]",0) - INDIRECT("RC[-5]",0))^2)</f>
        <v>1.7000000000000002</v>
      </c>
      <c r="G61">
        <f t="shared" ca="1" si="14"/>
        <v>11.3</v>
      </c>
      <c r="H61">
        <f t="shared" ca="1" si="14"/>
        <v>7.5</v>
      </c>
      <c r="I61">
        <f ca="1">SQRT((INDIRECT("R[-1]C[-8]",0) - INDIRECT("RC[-8]",0))^2 + (INDIRECT("R[-1]C[-7]",0) - INDIRECT("RC[-7]",0))^2)</f>
        <v>11.427160627207444</v>
      </c>
      <c r="J61">
        <f ca="1">SQRT((INDIRECT("R[-1]C[-9]",0) - INDIRECT("RC[-9]",0))^2 + (INDIRECT("R[-1]C[-7]",0) - INDIRECT("RC[-7]",0))^2)</f>
        <v>7.6902535718921516</v>
      </c>
      <c r="K61">
        <f ca="1">SQRT((INDIRECT("R[-1]C[-9]",0) - INDIRECT("RC[-9]",0))^2 + (INDIRECT("R[-1]C[-8]",0) - INDIRECT("RC[-8]",0))^2)</f>
        <v>13.56244815658294</v>
      </c>
    </row>
    <row r="62" spans="1:11" x14ac:dyDescent="0.25">
      <c r="A62">
        <f>AxisValue(A59,6)</f>
        <v>-3.33</v>
      </c>
      <c r="B62">
        <f>AxisValue(B59,6)</f>
        <v>-0.44</v>
      </c>
      <c r="C62">
        <f>AxisValue(C59,6)</f>
        <v>6.33</v>
      </c>
      <c r="D62">
        <f ca="1">SQRT(INDIRECT("RC[-3]",0)^2 + INDIRECT("RC[-2]",0)^2 + INDIRECT("RC[-1]",0)^2)</f>
        <v>7.1659891152582693</v>
      </c>
      <c r="E62">
        <f ca="1">SQRT((INDIRECT("R[-1]C[-4]",0) - INDIRECT("RC[-4]",0))^2 + (INDIRECT("R[-1]C[-3]",0) - INDIRECT("RC[-3]",0))^2 + (INDIRECT("R[-1]C[-2]",0) - INDIRECT("RC[-2]",0))^2)</f>
        <v>5.2991886171375331</v>
      </c>
      <c r="F62">
        <f t="shared" ca="1" si="14"/>
        <v>2.33</v>
      </c>
      <c r="G62">
        <f t="shared" ca="1" si="14"/>
        <v>3.94</v>
      </c>
      <c r="H62">
        <f t="shared" ca="1" si="14"/>
        <v>2.67</v>
      </c>
      <c r="I62">
        <f ca="1">SQRT((INDIRECT("R[-1]C[-8]",0) - INDIRECT("RC[-8]",0))^2 + (INDIRECT("R[-1]C[-7]",0) - INDIRECT("RC[-7]",0))^2)</f>
        <v>4.5773900860643284</v>
      </c>
      <c r="J62">
        <f ca="1">SQRT((INDIRECT("R[-1]C[-9]",0) - INDIRECT("RC[-9]",0))^2 + (INDIRECT("R[-1]C[-7]",0) - INDIRECT("RC[-7]",0))^2)</f>
        <v>3.5436986327846784</v>
      </c>
      <c r="K62">
        <f ca="1">SQRT((INDIRECT("R[-1]C[-9]",0) - INDIRECT("RC[-9]",0))^2 + (INDIRECT("R[-1]C[-8]",0) - INDIRECT("RC[-8]",0))^2)</f>
        <v>4.7594642555649056</v>
      </c>
    </row>
    <row r="63" spans="1:11" x14ac:dyDescent="0.25">
      <c r="A63">
        <f>AxisValue(A59,7)</f>
        <v>2</v>
      </c>
      <c r="B63">
        <f>AxisValue(B59,7)</f>
        <v>3.5</v>
      </c>
      <c r="C63">
        <f>AxisValue(C59,7)</f>
        <v>-1.22</v>
      </c>
      <c r="D63">
        <f ca="1">SQRT(INDIRECT("RC[-3]",0)^2 + INDIRECT("RC[-2]",0)^2 + INDIRECT("RC[-1]",0)^2)</f>
        <v>4.2116979948709519</v>
      </c>
      <c r="E63">
        <f ca="1">SQRT((INDIRECT("R[-1]C[-4]",0) - INDIRECT("RC[-4]",0))^2 + (INDIRECT("R[-1]C[-3]",0) - INDIRECT("RC[-3]",0))^2 + (INDIRECT("R[-1]C[-2]",0) - INDIRECT("RC[-2]",0))^2)</f>
        <v>10.04664122978421</v>
      </c>
      <c r="F63">
        <f t="shared" ca="1" si="14"/>
        <v>5.33</v>
      </c>
      <c r="G63">
        <f t="shared" ca="1" si="14"/>
        <v>3.94</v>
      </c>
      <c r="H63">
        <f t="shared" ca="1" si="14"/>
        <v>7.55</v>
      </c>
      <c r="I63">
        <f ca="1">SQRT((INDIRECT("R[-1]C[-8]",0) - INDIRECT("RC[-8]",0))^2 + (INDIRECT("R[-1]C[-7]",0) - INDIRECT("RC[-7]",0))^2)</f>
        <v>6.6281596239076803</v>
      </c>
      <c r="J63">
        <f ca="1">SQRT((INDIRECT("R[-1]C[-9]",0) - INDIRECT("RC[-9]",0))^2 + (INDIRECT("R[-1]C[-7]",0) - INDIRECT("RC[-7]",0))^2)</f>
        <v>9.2418288233444361</v>
      </c>
      <c r="K63">
        <f ca="1">SQRT((INDIRECT("R[-1]C[-9]",0) - INDIRECT("RC[-9]",0))^2 + (INDIRECT("R[-1]C[-8]",0) - INDIRECT("RC[-8]",0))^2)</f>
        <v>8.516225689822928</v>
      </c>
    </row>
    <row r="64" spans="1:11" x14ac:dyDescent="0.25">
      <c r="A64">
        <f>AxisValue(A59,8)</f>
        <v>-2.11</v>
      </c>
      <c r="B64">
        <f>AxisValue(B59,8)</f>
        <v>-0.77</v>
      </c>
      <c r="C64">
        <f>AxisValue(C59,8)</f>
        <v>-4.0090000000000003</v>
      </c>
      <c r="D64">
        <f ca="1">SQRT(INDIRECT("RC[-3]",0)^2 + INDIRECT("RC[-2]",0)^2 + INDIRECT("RC[-1]",0)^2)</f>
        <v>4.5953325233327789</v>
      </c>
      <c r="E64">
        <f ca="1">SQRT((INDIRECT("R[-1]C[-4]",0) - INDIRECT("RC[-4]",0))^2 + (INDIRECT("R[-1]C[-3]",0) - INDIRECT("RC[-3]",0))^2 + (INDIRECT("R[-1]C[-2]",0) - INDIRECT("RC[-2]",0))^2)</f>
        <v>6.5500779384676022</v>
      </c>
      <c r="F64">
        <f t="shared" ca="1" si="14"/>
        <v>4.1099999999999994</v>
      </c>
      <c r="G64">
        <f t="shared" ca="1" si="14"/>
        <v>4.2699999999999996</v>
      </c>
      <c r="H64">
        <f t="shared" ca="1" si="14"/>
        <v>2.7890000000000006</v>
      </c>
      <c r="I64">
        <f ca="1">SQRT((INDIRECT("R[-1]C[-8]",0) - INDIRECT("RC[-8]",0))^2 + (INDIRECT("R[-1]C[-7]",0) - INDIRECT("RC[-7]",0))^2)</f>
        <v>5.9266347955648486</v>
      </c>
      <c r="J64">
        <f ca="1">SQRT((INDIRECT("R[-1]C[-9]",0) - INDIRECT("RC[-9]",0))^2 + (INDIRECT("R[-1]C[-7]",0) - INDIRECT("RC[-7]",0))^2)</f>
        <v>4.9669528888444265</v>
      </c>
      <c r="K64">
        <f ca="1">SQRT((INDIRECT("R[-1]C[-9]",0) - INDIRECT("RC[-9]",0))^2 + (INDIRECT("R[-1]C[-8]",0) - INDIRECT("RC[-8]",0))^2)</f>
        <v>5.1001393118227663</v>
      </c>
    </row>
    <row r="65" spans="1:11" x14ac:dyDescent="0.25">
      <c r="D65" t="s">
        <v>4</v>
      </c>
      <c r="E65">
        <f t="shared" ref="E65:K65" ca="1" si="15">(INDIRECT("R[-1]C",0) + INDIRECT("R[-2]C",0) + INDIRECT("R[-3]C",0) + INDIRECT("R[-4]C",0))</f>
        <v>35.564484887633753</v>
      </c>
      <c r="F65">
        <f t="shared" ca="1" si="15"/>
        <v>13.469999999999999</v>
      </c>
      <c r="G65">
        <f t="shared" ca="1" si="15"/>
        <v>23.45</v>
      </c>
      <c r="H65">
        <f t="shared" ca="1" si="15"/>
        <v>20.509</v>
      </c>
      <c r="I65">
        <f t="shared" ca="1" si="15"/>
        <v>28.559345132744298</v>
      </c>
      <c r="J65">
        <f t="shared" ca="1" si="15"/>
        <v>25.442733916865691</v>
      </c>
      <c r="K65">
        <f t="shared" ca="1" si="15"/>
        <v>31.938277413793536</v>
      </c>
    </row>
    <row r="66" spans="1:11" x14ac:dyDescent="0.25">
      <c r="A66" t="s">
        <v>18</v>
      </c>
    </row>
    <row r="67" spans="1:11" x14ac:dyDescent="0.25">
      <c r="A67" s="1" t="s">
        <v>25</v>
      </c>
      <c r="B67" s="1" t="s">
        <v>24</v>
      </c>
      <c r="C67" s="1" t="s">
        <v>26</v>
      </c>
      <c r="D67" t="s">
        <v>10</v>
      </c>
      <c r="E67" t="s">
        <v>14</v>
      </c>
      <c r="F67" t="s">
        <v>13</v>
      </c>
      <c r="G67" t="s">
        <v>12</v>
      </c>
      <c r="H67" t="s">
        <v>11</v>
      </c>
      <c r="I67" t="s">
        <v>15</v>
      </c>
      <c r="J67" t="s">
        <v>16</v>
      </c>
      <c r="K67" t="s">
        <v>17</v>
      </c>
    </row>
    <row r="68" spans="1:11" x14ac:dyDescent="0.25">
      <c r="A68">
        <f>AxisValue(A67,4)</f>
        <v>-2.7</v>
      </c>
      <c r="B68">
        <f>AxisValue(B67,4)</f>
        <v>-7.8</v>
      </c>
      <c r="C68">
        <f>AxisValue(C67,4)</f>
        <v>-1.5</v>
      </c>
      <c r="D68">
        <f ca="1">SQRT(INDIRECT("RC[-3]",0)^2 + INDIRECT("RC[-2]",0)^2 + INDIRECT("RC[-1]",0)^2)</f>
        <v>8.3892788724657379</v>
      </c>
    </row>
    <row r="69" spans="1:11" x14ac:dyDescent="0.25">
      <c r="A69">
        <f>AxisValue(A67,5)</f>
        <v>-1</v>
      </c>
      <c r="B69">
        <f>AxisValue(B67,5)</f>
        <v>3.5</v>
      </c>
      <c r="C69">
        <f>AxisValue(C67,5)</f>
        <v>-9</v>
      </c>
      <c r="D69">
        <f ca="1">SQRT(INDIRECT("RC[-3]",0)^2 + INDIRECT("RC[-2]",0)^2 + INDIRECT("RC[-1]",0)^2)</f>
        <v>9.7082439194737997</v>
      </c>
      <c r="E69">
        <f ca="1">SQRT((INDIRECT("R[-1]C[-4]",0) - INDIRECT("RC[-4]",0))^2 + (INDIRECT("R[-1]C[-3]",0) - INDIRECT("RC[-3]",0))^2 + (INDIRECT("R[-1]C[-2]",0) - INDIRECT("RC[-2]",0))^2)</f>
        <v>13.668577102244404</v>
      </c>
      <c r="F69">
        <f t="shared" ref="F69:H72" ca="1" si="16">SQRT((INDIRECT("R[-1]C[-5]",0) - INDIRECT("RC[-5]",0))^2)</f>
        <v>1.7000000000000002</v>
      </c>
      <c r="G69">
        <f t="shared" ca="1" si="16"/>
        <v>11.3</v>
      </c>
      <c r="H69">
        <f t="shared" ca="1" si="16"/>
        <v>7.5</v>
      </c>
      <c r="I69">
        <f ca="1">SQRT((INDIRECT("R[-1]C[-8]",0) - INDIRECT("RC[-8]",0))^2 + (INDIRECT("R[-1]C[-7]",0) - INDIRECT("RC[-7]",0))^2)</f>
        <v>11.427160627207444</v>
      </c>
      <c r="J69">
        <f ca="1">SQRT((INDIRECT("R[-1]C[-9]",0) - INDIRECT("RC[-9]",0))^2 + (INDIRECT("R[-1]C[-7]",0) - INDIRECT("RC[-7]",0))^2)</f>
        <v>7.6902535718921516</v>
      </c>
      <c r="K69">
        <f ca="1">SQRT((INDIRECT("R[-1]C[-9]",0) - INDIRECT("RC[-9]",0))^2 + (INDIRECT("R[-1]C[-8]",0) - INDIRECT("RC[-8]",0))^2)</f>
        <v>13.56244815658294</v>
      </c>
    </row>
    <row r="70" spans="1:11" x14ac:dyDescent="0.25">
      <c r="A70">
        <f>AxisValue(A67,6)</f>
        <v>-3.33</v>
      </c>
      <c r="B70">
        <f>AxisValue(B67,6)</f>
        <v>-0.44</v>
      </c>
      <c r="C70">
        <f>AxisValue(C67,6)</f>
        <v>-6.33</v>
      </c>
      <c r="D70">
        <f ca="1">SQRT(INDIRECT("RC[-3]",0)^2 + INDIRECT("RC[-2]",0)^2 + INDIRECT("RC[-1]",0)^2)</f>
        <v>7.1659891152582693</v>
      </c>
      <c r="E70">
        <f ca="1">SQRT((INDIRECT("R[-1]C[-4]",0) - INDIRECT("RC[-4]",0))^2 + (INDIRECT("R[-1]C[-3]",0) - INDIRECT("RC[-3]",0))^2 + (INDIRECT("R[-1]C[-2]",0) - INDIRECT("RC[-2]",0))^2)</f>
        <v>5.2991886171375331</v>
      </c>
      <c r="F70">
        <f t="shared" ca="1" si="16"/>
        <v>2.33</v>
      </c>
      <c r="G70">
        <f t="shared" ca="1" si="16"/>
        <v>3.94</v>
      </c>
      <c r="H70">
        <f t="shared" ca="1" si="16"/>
        <v>2.67</v>
      </c>
      <c r="I70">
        <f ca="1">SQRT((INDIRECT("R[-1]C[-8]",0) - INDIRECT("RC[-8]",0))^2 + (INDIRECT("R[-1]C[-7]",0) - INDIRECT("RC[-7]",0))^2)</f>
        <v>4.5773900860643284</v>
      </c>
      <c r="J70">
        <f ca="1">SQRT((INDIRECT("R[-1]C[-9]",0) - INDIRECT("RC[-9]",0))^2 + (INDIRECT("R[-1]C[-7]",0) - INDIRECT("RC[-7]",0))^2)</f>
        <v>3.5436986327846784</v>
      </c>
      <c r="K70">
        <f ca="1">SQRT((INDIRECT("R[-1]C[-9]",0) - INDIRECT("RC[-9]",0))^2 + (INDIRECT("R[-1]C[-8]",0) - INDIRECT("RC[-8]",0))^2)</f>
        <v>4.7594642555649056</v>
      </c>
    </row>
    <row r="71" spans="1:11" x14ac:dyDescent="0.25">
      <c r="A71">
        <f>AxisValue(A67,7)</f>
        <v>2</v>
      </c>
      <c r="B71">
        <f>AxisValue(B67,7)</f>
        <v>3.5</v>
      </c>
      <c r="C71">
        <f>AxisValue(C67,7)</f>
        <v>1.22</v>
      </c>
      <c r="D71">
        <f ca="1">SQRT(INDIRECT("RC[-3]",0)^2 + INDIRECT("RC[-2]",0)^2 + INDIRECT("RC[-1]",0)^2)</f>
        <v>4.2116979948709519</v>
      </c>
      <c r="E71">
        <f ca="1">SQRT((INDIRECT("R[-1]C[-4]",0) - INDIRECT("RC[-4]",0))^2 + (INDIRECT("R[-1]C[-3]",0) - INDIRECT("RC[-3]",0))^2 + (INDIRECT("R[-1]C[-2]",0) - INDIRECT("RC[-2]",0))^2)</f>
        <v>10.04664122978421</v>
      </c>
      <c r="F71">
        <f t="shared" ca="1" si="16"/>
        <v>5.33</v>
      </c>
      <c r="G71">
        <f t="shared" ca="1" si="16"/>
        <v>3.94</v>
      </c>
      <c r="H71">
        <f t="shared" ca="1" si="16"/>
        <v>7.55</v>
      </c>
      <c r="I71">
        <f ca="1">SQRT((INDIRECT("R[-1]C[-8]",0) - INDIRECT("RC[-8]",0))^2 + (INDIRECT("R[-1]C[-7]",0) - INDIRECT("RC[-7]",0))^2)</f>
        <v>6.6281596239076803</v>
      </c>
      <c r="J71">
        <f ca="1">SQRT((INDIRECT("R[-1]C[-9]",0) - INDIRECT("RC[-9]",0))^2 + (INDIRECT("R[-1]C[-7]",0) - INDIRECT("RC[-7]",0))^2)</f>
        <v>9.2418288233444361</v>
      </c>
      <c r="K71">
        <f ca="1">SQRT((INDIRECT("R[-1]C[-9]",0) - INDIRECT("RC[-9]",0))^2 + (INDIRECT("R[-1]C[-8]",0) - INDIRECT("RC[-8]",0))^2)</f>
        <v>8.516225689822928</v>
      </c>
    </row>
    <row r="72" spans="1:11" x14ac:dyDescent="0.25">
      <c r="A72">
        <f>AxisValue(A67,8)</f>
        <v>-2.11</v>
      </c>
      <c r="B72">
        <f>AxisValue(B67,8)</f>
        <v>-0.77</v>
      </c>
      <c r="C72">
        <f>AxisValue(C67,8)</f>
        <v>4.0090000000000003</v>
      </c>
      <c r="D72">
        <f ca="1">SQRT(INDIRECT("RC[-3]",0)^2 + INDIRECT("RC[-2]",0)^2 + INDIRECT("RC[-1]",0)^2)</f>
        <v>4.5953325233327789</v>
      </c>
      <c r="E72">
        <f ca="1">SQRT((INDIRECT("R[-1]C[-4]",0) - INDIRECT("RC[-4]",0))^2 + (INDIRECT("R[-1]C[-3]",0) - INDIRECT("RC[-3]",0))^2 + (INDIRECT("R[-1]C[-2]",0) - INDIRECT("RC[-2]",0))^2)</f>
        <v>6.5500779384676022</v>
      </c>
      <c r="F72">
        <f t="shared" ca="1" si="16"/>
        <v>4.1099999999999994</v>
      </c>
      <c r="G72">
        <f t="shared" ca="1" si="16"/>
        <v>4.2699999999999996</v>
      </c>
      <c r="H72">
        <f t="shared" ca="1" si="16"/>
        <v>2.7890000000000006</v>
      </c>
      <c r="I72">
        <f ca="1">SQRT((INDIRECT("R[-1]C[-8]",0) - INDIRECT("RC[-8]",0))^2 + (INDIRECT("R[-1]C[-7]",0) - INDIRECT("RC[-7]",0))^2)</f>
        <v>5.9266347955648486</v>
      </c>
      <c r="J72">
        <f ca="1">SQRT((INDIRECT("R[-1]C[-9]",0) - INDIRECT("RC[-9]",0))^2 + (INDIRECT("R[-1]C[-7]",0) - INDIRECT("RC[-7]",0))^2)</f>
        <v>4.9669528888444265</v>
      </c>
      <c r="K72">
        <f ca="1">SQRT((INDIRECT("R[-1]C[-9]",0) - INDIRECT("RC[-9]",0))^2 + (INDIRECT("R[-1]C[-8]",0) - INDIRECT("RC[-8]",0))^2)</f>
        <v>5.1001393118227663</v>
      </c>
    </row>
    <row r="73" spans="1:11" x14ac:dyDescent="0.25">
      <c r="D73" t="s">
        <v>4</v>
      </c>
      <c r="E73">
        <f t="shared" ref="E73:K73" ca="1" si="17">(INDIRECT("R[-1]C",0) + INDIRECT("R[-2]C",0) + INDIRECT("R[-3]C",0) + INDIRECT("R[-4]C",0))</f>
        <v>35.564484887633753</v>
      </c>
      <c r="F73">
        <f t="shared" ca="1" si="17"/>
        <v>13.469999999999999</v>
      </c>
      <c r="G73">
        <f t="shared" ca="1" si="17"/>
        <v>23.45</v>
      </c>
      <c r="H73">
        <f t="shared" ca="1" si="17"/>
        <v>20.509</v>
      </c>
      <c r="I73">
        <f t="shared" ca="1" si="17"/>
        <v>28.559345132744298</v>
      </c>
      <c r="J73">
        <f t="shared" ca="1" si="17"/>
        <v>25.442733916865691</v>
      </c>
      <c r="K73">
        <f t="shared" ca="1" si="17"/>
        <v>31.938277413793536</v>
      </c>
    </row>
    <row r="74" spans="1:11" x14ac:dyDescent="0.25">
      <c r="A74" t="s">
        <v>18</v>
      </c>
    </row>
    <row r="75" spans="1:11" x14ac:dyDescent="0.25">
      <c r="A75" s="1" t="s">
        <v>23</v>
      </c>
      <c r="B75" s="1" t="s">
        <v>21</v>
      </c>
      <c r="C75" s="1" t="s">
        <v>22</v>
      </c>
      <c r="D75" t="s">
        <v>10</v>
      </c>
      <c r="E75" t="s">
        <v>14</v>
      </c>
      <c r="F75" t="s">
        <v>13</v>
      </c>
      <c r="G75" t="s">
        <v>12</v>
      </c>
      <c r="H75" t="s">
        <v>11</v>
      </c>
      <c r="I75" t="s">
        <v>15</v>
      </c>
      <c r="J75" t="s">
        <v>16</v>
      </c>
      <c r="K75" t="s">
        <v>17</v>
      </c>
    </row>
    <row r="76" spans="1:11" x14ac:dyDescent="0.25">
      <c r="A76">
        <f>AxisValue(A75,4)</f>
        <v>7.8</v>
      </c>
      <c r="B76">
        <f>AxisValue(B75,4)</f>
        <v>1.5</v>
      </c>
      <c r="C76">
        <f>AxisValue(C75,4)</f>
        <v>2.7</v>
      </c>
      <c r="D76">
        <f ca="1">SQRT(INDIRECT("RC[-3]",0)^2 + INDIRECT("RC[-2]",0)^2 + INDIRECT("RC[-1]",0)^2)</f>
        <v>8.3892788724657379</v>
      </c>
    </row>
    <row r="77" spans="1:11" x14ac:dyDescent="0.25">
      <c r="A77">
        <f>AxisValue(A75,5)</f>
        <v>-3.5</v>
      </c>
      <c r="B77">
        <f>AxisValue(B75,5)</f>
        <v>9</v>
      </c>
      <c r="C77">
        <f>AxisValue(C75,5)</f>
        <v>1</v>
      </c>
      <c r="D77">
        <f ca="1">SQRT(INDIRECT("RC[-3]",0)^2 + INDIRECT("RC[-2]",0)^2 + INDIRECT("RC[-1]",0)^2)</f>
        <v>9.7082439194737997</v>
      </c>
      <c r="E77">
        <f ca="1">SQRT((INDIRECT("R[-1]C[-4]",0) - INDIRECT("RC[-4]",0))^2 + (INDIRECT("R[-1]C[-3]",0) - INDIRECT("RC[-3]",0))^2 + (INDIRECT("R[-1]C[-2]",0) - INDIRECT("RC[-2]",0))^2)</f>
        <v>13.668577102244402</v>
      </c>
      <c r="F77">
        <f t="shared" ref="F77:H80" ca="1" si="18">SQRT((INDIRECT("R[-1]C[-5]",0) - INDIRECT("RC[-5]",0))^2)</f>
        <v>11.3</v>
      </c>
      <c r="G77">
        <f t="shared" ca="1" si="18"/>
        <v>7.5</v>
      </c>
      <c r="H77">
        <f t="shared" ca="1" si="18"/>
        <v>1.7000000000000002</v>
      </c>
      <c r="I77">
        <f ca="1">SQRT((INDIRECT("R[-1]C[-8]",0) - INDIRECT("RC[-8]",0))^2 + (INDIRECT("R[-1]C[-7]",0) - INDIRECT("RC[-7]",0))^2)</f>
        <v>13.56244815658294</v>
      </c>
      <c r="J77">
        <f ca="1">SQRT((INDIRECT("R[-1]C[-9]",0) - INDIRECT("RC[-9]",0))^2 + (INDIRECT("R[-1]C[-7]",0) - INDIRECT("RC[-7]",0))^2)</f>
        <v>11.427160627207444</v>
      </c>
      <c r="K77">
        <f ca="1">SQRT((INDIRECT("R[-1]C[-9]",0) - INDIRECT("RC[-9]",0))^2 + (INDIRECT("R[-1]C[-8]",0) - INDIRECT("RC[-8]",0))^2)</f>
        <v>7.6902535718921516</v>
      </c>
    </row>
    <row r="78" spans="1:11" x14ac:dyDescent="0.25">
      <c r="A78">
        <f>AxisValue(A75,6)</f>
        <v>0.44</v>
      </c>
      <c r="B78">
        <f>AxisValue(B75,6)</f>
        <v>6.33</v>
      </c>
      <c r="C78">
        <f>AxisValue(C75,6)</f>
        <v>3.33</v>
      </c>
      <c r="D78">
        <f ca="1">SQRT(INDIRECT("RC[-3]",0)^2 + INDIRECT("RC[-2]",0)^2 + INDIRECT("RC[-1]",0)^2)</f>
        <v>7.1659891152582702</v>
      </c>
      <c r="E78">
        <f ca="1">SQRT((INDIRECT("R[-1]C[-4]",0) - INDIRECT("RC[-4]",0))^2 + (INDIRECT("R[-1]C[-3]",0) - INDIRECT("RC[-3]",0))^2 + (INDIRECT("R[-1]C[-2]",0) - INDIRECT("RC[-2]",0))^2)</f>
        <v>5.2991886171375331</v>
      </c>
      <c r="F78">
        <f t="shared" ca="1" si="18"/>
        <v>3.94</v>
      </c>
      <c r="G78">
        <f t="shared" ca="1" si="18"/>
        <v>2.67</v>
      </c>
      <c r="H78">
        <f t="shared" ca="1" si="18"/>
        <v>2.33</v>
      </c>
      <c r="I78">
        <f ca="1">SQRT((INDIRECT("R[-1]C[-8]",0) - INDIRECT("RC[-8]",0))^2 + (INDIRECT("R[-1]C[-7]",0) - INDIRECT("RC[-7]",0))^2)</f>
        <v>4.7594642555649056</v>
      </c>
      <c r="J78">
        <f ca="1">SQRT((INDIRECT("R[-1]C[-9]",0) - INDIRECT("RC[-9]",0))^2 + (INDIRECT("R[-1]C[-7]",0) - INDIRECT("RC[-7]",0))^2)</f>
        <v>4.5773900860643284</v>
      </c>
      <c r="K78">
        <f ca="1">SQRT((INDIRECT("R[-1]C[-9]",0) - INDIRECT("RC[-9]",0))^2 + (INDIRECT("R[-1]C[-8]",0) - INDIRECT("RC[-8]",0))^2)</f>
        <v>3.5436986327846784</v>
      </c>
    </row>
    <row r="79" spans="1:11" x14ac:dyDescent="0.25">
      <c r="A79">
        <f>AxisValue(A75,7)</f>
        <v>-3.5</v>
      </c>
      <c r="B79">
        <f>AxisValue(B75,7)</f>
        <v>-1.22</v>
      </c>
      <c r="C79">
        <f>AxisValue(C75,7)</f>
        <v>-2</v>
      </c>
      <c r="D79">
        <f ca="1">SQRT(INDIRECT("RC[-3]",0)^2 + INDIRECT("RC[-2]",0)^2 + INDIRECT("RC[-1]",0)^2)</f>
        <v>4.2116979948709519</v>
      </c>
      <c r="E79">
        <f ca="1">SQRT((INDIRECT("R[-1]C[-4]",0) - INDIRECT("RC[-4]",0))^2 + (INDIRECT("R[-1]C[-3]",0) - INDIRECT("RC[-3]",0))^2 + (INDIRECT("R[-1]C[-2]",0) - INDIRECT("RC[-2]",0))^2)</f>
        <v>10.04664122978421</v>
      </c>
      <c r="F79">
        <f t="shared" ca="1" si="18"/>
        <v>3.94</v>
      </c>
      <c r="G79">
        <f t="shared" ca="1" si="18"/>
        <v>7.55</v>
      </c>
      <c r="H79">
        <f t="shared" ca="1" si="18"/>
        <v>5.33</v>
      </c>
      <c r="I79">
        <f ca="1">SQRT((INDIRECT("R[-1]C[-8]",0) - INDIRECT("RC[-8]",0))^2 + (INDIRECT("R[-1]C[-7]",0) - INDIRECT("RC[-7]",0))^2)</f>
        <v>8.516225689822928</v>
      </c>
      <c r="J79">
        <f ca="1">SQRT((INDIRECT("R[-1]C[-9]",0) - INDIRECT("RC[-9]",0))^2 + (INDIRECT("R[-1]C[-7]",0) - INDIRECT("RC[-7]",0))^2)</f>
        <v>6.6281596239076803</v>
      </c>
      <c r="K79">
        <f ca="1">SQRT((INDIRECT("R[-1]C[-9]",0) - INDIRECT("RC[-9]",0))^2 + (INDIRECT("R[-1]C[-8]",0) - INDIRECT("RC[-8]",0))^2)</f>
        <v>9.2418288233444361</v>
      </c>
    </row>
    <row r="80" spans="1:11" x14ac:dyDescent="0.25">
      <c r="A80">
        <f>AxisValue(A75,8)</f>
        <v>0.77</v>
      </c>
      <c r="B80">
        <f>AxisValue(B75,8)</f>
        <v>-4.0090000000000003</v>
      </c>
      <c r="C80">
        <f>AxisValue(C75,8)</f>
        <v>2.11</v>
      </c>
      <c r="D80">
        <f ca="1">SQRT(INDIRECT("RC[-3]",0)^2 + INDIRECT("RC[-2]",0)^2 + INDIRECT("RC[-1]",0)^2)</f>
        <v>4.5953325233327789</v>
      </c>
      <c r="E80">
        <f ca="1">SQRT((INDIRECT("R[-1]C[-4]",0) - INDIRECT("RC[-4]",0))^2 + (INDIRECT("R[-1]C[-3]",0) - INDIRECT("RC[-3]",0))^2 + (INDIRECT("R[-1]C[-2]",0) - INDIRECT("RC[-2]",0))^2)</f>
        <v>6.5500779384676022</v>
      </c>
      <c r="F80">
        <f t="shared" ca="1" si="18"/>
        <v>4.2699999999999996</v>
      </c>
      <c r="G80">
        <f t="shared" ca="1" si="18"/>
        <v>2.7890000000000006</v>
      </c>
      <c r="H80">
        <f t="shared" ca="1" si="18"/>
        <v>4.1099999999999994</v>
      </c>
      <c r="I80">
        <f ca="1">SQRT((INDIRECT("R[-1]C[-8]",0) - INDIRECT("RC[-8]",0))^2 + (INDIRECT("R[-1]C[-7]",0) - INDIRECT("RC[-7]",0))^2)</f>
        <v>5.1001393118227663</v>
      </c>
      <c r="J80">
        <f ca="1">SQRT((INDIRECT("R[-1]C[-9]",0) - INDIRECT("RC[-9]",0))^2 + (INDIRECT("R[-1]C[-7]",0) - INDIRECT("RC[-7]",0))^2)</f>
        <v>5.9266347955648486</v>
      </c>
      <c r="K80">
        <f ca="1">SQRT((INDIRECT("R[-1]C[-9]",0) - INDIRECT("RC[-9]",0))^2 + (INDIRECT("R[-1]C[-8]",0) - INDIRECT("RC[-8]",0))^2)</f>
        <v>4.9669528888444265</v>
      </c>
    </row>
    <row r="81" spans="1:11" x14ac:dyDescent="0.25">
      <c r="D81" t="s">
        <v>4</v>
      </c>
      <c r="E81">
        <f t="shared" ref="E81:K81" ca="1" si="19">(INDIRECT("R[-1]C",0) + INDIRECT("R[-2]C",0) + INDIRECT("R[-3]C",0) + INDIRECT("R[-4]C",0))</f>
        <v>35.564484887633753</v>
      </c>
      <c r="F81">
        <f t="shared" ca="1" si="19"/>
        <v>23.45</v>
      </c>
      <c r="G81">
        <f t="shared" ca="1" si="19"/>
        <v>20.509</v>
      </c>
      <c r="H81">
        <f t="shared" ca="1" si="19"/>
        <v>13.469999999999999</v>
      </c>
      <c r="I81">
        <f t="shared" ca="1" si="19"/>
        <v>31.938277413793536</v>
      </c>
      <c r="J81">
        <f t="shared" ca="1" si="19"/>
        <v>28.559345132744298</v>
      </c>
      <c r="K81">
        <f t="shared" ca="1" si="19"/>
        <v>25.442733916865691</v>
      </c>
    </row>
    <row r="82" spans="1:11" x14ac:dyDescent="0.25">
      <c r="A82" t="s">
        <v>18</v>
      </c>
    </row>
    <row r="83" spans="1:11" x14ac:dyDescent="0.25">
      <c r="A83" s="1" t="s">
        <v>23</v>
      </c>
      <c r="B83" s="1" t="s">
        <v>21</v>
      </c>
      <c r="C83" s="1" t="s">
        <v>25</v>
      </c>
      <c r="D83" t="s">
        <v>10</v>
      </c>
      <c r="E83" t="s">
        <v>14</v>
      </c>
      <c r="F83" t="s">
        <v>13</v>
      </c>
      <c r="G83" t="s">
        <v>12</v>
      </c>
      <c r="H83" t="s">
        <v>11</v>
      </c>
      <c r="I83" t="s">
        <v>15</v>
      </c>
      <c r="J83" t="s">
        <v>16</v>
      </c>
      <c r="K83" t="s">
        <v>17</v>
      </c>
    </row>
    <row r="84" spans="1:11" x14ac:dyDescent="0.25">
      <c r="A84">
        <f>AxisValue(A83,4)</f>
        <v>7.8</v>
      </c>
      <c r="B84">
        <f>AxisValue(B83,4)</f>
        <v>1.5</v>
      </c>
      <c r="C84">
        <f>AxisValue(C83,4)</f>
        <v>-2.7</v>
      </c>
      <c r="D84">
        <f ca="1">SQRT(INDIRECT("RC[-3]",0)^2 + INDIRECT("RC[-2]",0)^2 + INDIRECT("RC[-1]",0)^2)</f>
        <v>8.3892788724657379</v>
      </c>
    </row>
    <row r="85" spans="1:11" x14ac:dyDescent="0.25">
      <c r="A85">
        <f>AxisValue(A83,5)</f>
        <v>-3.5</v>
      </c>
      <c r="B85">
        <f>AxisValue(B83,5)</f>
        <v>9</v>
      </c>
      <c r="C85">
        <f>AxisValue(C83,5)</f>
        <v>-1</v>
      </c>
      <c r="D85">
        <f ca="1">SQRT(INDIRECT("RC[-3]",0)^2 + INDIRECT("RC[-2]",0)^2 + INDIRECT("RC[-1]",0)^2)</f>
        <v>9.7082439194737997</v>
      </c>
      <c r="E85">
        <f ca="1">SQRT((INDIRECT("R[-1]C[-4]",0) - INDIRECT("RC[-4]",0))^2 + (INDIRECT("R[-1]C[-3]",0) - INDIRECT("RC[-3]",0))^2 + (INDIRECT("R[-1]C[-2]",0) - INDIRECT("RC[-2]",0))^2)</f>
        <v>13.668577102244402</v>
      </c>
      <c r="F85">
        <f t="shared" ref="F85:H88" ca="1" si="20">SQRT((INDIRECT("R[-1]C[-5]",0) - INDIRECT("RC[-5]",0))^2)</f>
        <v>11.3</v>
      </c>
      <c r="G85">
        <f t="shared" ca="1" si="20"/>
        <v>7.5</v>
      </c>
      <c r="H85">
        <f t="shared" ca="1" si="20"/>
        <v>1.7000000000000002</v>
      </c>
      <c r="I85">
        <f ca="1">SQRT((INDIRECT("R[-1]C[-8]",0) - INDIRECT("RC[-8]",0))^2 + (INDIRECT("R[-1]C[-7]",0) - INDIRECT("RC[-7]",0))^2)</f>
        <v>13.56244815658294</v>
      </c>
      <c r="J85">
        <f ca="1">SQRT((INDIRECT("R[-1]C[-9]",0) - INDIRECT("RC[-9]",0))^2 + (INDIRECT("R[-1]C[-7]",0) - INDIRECT("RC[-7]",0))^2)</f>
        <v>11.427160627207444</v>
      </c>
      <c r="K85">
        <f ca="1">SQRT((INDIRECT("R[-1]C[-9]",0) - INDIRECT("RC[-9]",0))^2 + (INDIRECT("R[-1]C[-8]",0) - INDIRECT("RC[-8]",0))^2)</f>
        <v>7.6902535718921516</v>
      </c>
    </row>
    <row r="86" spans="1:11" x14ac:dyDescent="0.25">
      <c r="A86">
        <f>AxisValue(A83,6)</f>
        <v>0.44</v>
      </c>
      <c r="B86">
        <f>AxisValue(B83,6)</f>
        <v>6.33</v>
      </c>
      <c r="C86">
        <f>AxisValue(C83,6)</f>
        <v>-3.33</v>
      </c>
      <c r="D86">
        <f ca="1">SQRT(INDIRECT("RC[-3]",0)^2 + INDIRECT("RC[-2]",0)^2 + INDIRECT("RC[-1]",0)^2)</f>
        <v>7.1659891152582702</v>
      </c>
      <c r="E86">
        <f ca="1">SQRT((INDIRECT("R[-1]C[-4]",0) - INDIRECT("RC[-4]",0))^2 + (INDIRECT("R[-1]C[-3]",0) - INDIRECT("RC[-3]",0))^2 + (INDIRECT("R[-1]C[-2]",0) - INDIRECT("RC[-2]",0))^2)</f>
        <v>5.2991886171375331</v>
      </c>
      <c r="F86">
        <f t="shared" ca="1" si="20"/>
        <v>3.94</v>
      </c>
      <c r="G86">
        <f t="shared" ca="1" si="20"/>
        <v>2.67</v>
      </c>
      <c r="H86">
        <f t="shared" ca="1" si="20"/>
        <v>2.33</v>
      </c>
      <c r="I86">
        <f ca="1">SQRT((INDIRECT("R[-1]C[-8]",0) - INDIRECT("RC[-8]",0))^2 + (INDIRECT("R[-1]C[-7]",0) - INDIRECT("RC[-7]",0))^2)</f>
        <v>4.7594642555649056</v>
      </c>
      <c r="J86">
        <f ca="1">SQRT((INDIRECT("R[-1]C[-9]",0) - INDIRECT("RC[-9]",0))^2 + (INDIRECT("R[-1]C[-7]",0) - INDIRECT("RC[-7]",0))^2)</f>
        <v>4.5773900860643284</v>
      </c>
      <c r="K86">
        <f ca="1">SQRT((INDIRECT("R[-1]C[-9]",0) - INDIRECT("RC[-9]",0))^2 + (INDIRECT("R[-1]C[-8]",0) - INDIRECT("RC[-8]",0))^2)</f>
        <v>3.5436986327846784</v>
      </c>
    </row>
    <row r="87" spans="1:11" x14ac:dyDescent="0.25">
      <c r="A87">
        <f>AxisValue(A83,7)</f>
        <v>-3.5</v>
      </c>
      <c r="B87">
        <f>AxisValue(B83,7)</f>
        <v>-1.22</v>
      </c>
      <c r="C87">
        <f>AxisValue(C83,7)</f>
        <v>2</v>
      </c>
      <c r="D87">
        <f ca="1">SQRT(INDIRECT("RC[-3]",0)^2 + INDIRECT("RC[-2]",0)^2 + INDIRECT("RC[-1]",0)^2)</f>
        <v>4.2116979948709519</v>
      </c>
      <c r="E87">
        <f ca="1">SQRT((INDIRECT("R[-1]C[-4]",0) - INDIRECT("RC[-4]",0))^2 + (INDIRECT("R[-1]C[-3]",0) - INDIRECT("RC[-3]",0))^2 + (INDIRECT("R[-1]C[-2]",0) - INDIRECT("RC[-2]",0))^2)</f>
        <v>10.04664122978421</v>
      </c>
      <c r="F87">
        <f t="shared" ca="1" si="20"/>
        <v>3.94</v>
      </c>
      <c r="G87">
        <f t="shared" ca="1" si="20"/>
        <v>7.55</v>
      </c>
      <c r="H87">
        <f t="shared" ca="1" si="20"/>
        <v>5.33</v>
      </c>
      <c r="I87">
        <f ca="1">SQRT((INDIRECT("R[-1]C[-8]",0) - INDIRECT("RC[-8]",0))^2 + (INDIRECT("R[-1]C[-7]",0) - INDIRECT("RC[-7]",0))^2)</f>
        <v>8.516225689822928</v>
      </c>
      <c r="J87">
        <f ca="1">SQRT((INDIRECT("R[-1]C[-9]",0) - INDIRECT("RC[-9]",0))^2 + (INDIRECT("R[-1]C[-7]",0) - INDIRECT("RC[-7]",0))^2)</f>
        <v>6.6281596239076803</v>
      </c>
      <c r="K87">
        <f ca="1">SQRT((INDIRECT("R[-1]C[-9]",0) - INDIRECT("RC[-9]",0))^2 + (INDIRECT("R[-1]C[-8]",0) - INDIRECT("RC[-8]",0))^2)</f>
        <v>9.2418288233444361</v>
      </c>
    </row>
    <row r="88" spans="1:11" x14ac:dyDescent="0.25">
      <c r="A88">
        <f>AxisValue(A83,8)</f>
        <v>0.77</v>
      </c>
      <c r="B88">
        <f>AxisValue(B83,8)</f>
        <v>-4.0090000000000003</v>
      </c>
      <c r="C88">
        <f>AxisValue(C83,8)</f>
        <v>-2.11</v>
      </c>
      <c r="D88">
        <f ca="1">SQRT(INDIRECT("RC[-3]",0)^2 + INDIRECT("RC[-2]",0)^2 + INDIRECT("RC[-1]",0)^2)</f>
        <v>4.5953325233327789</v>
      </c>
      <c r="E88">
        <f ca="1">SQRT((INDIRECT("R[-1]C[-4]",0) - INDIRECT("RC[-4]",0))^2 + (INDIRECT("R[-1]C[-3]",0) - INDIRECT("RC[-3]",0))^2 + (INDIRECT("R[-1]C[-2]",0) - INDIRECT("RC[-2]",0))^2)</f>
        <v>6.5500779384676022</v>
      </c>
      <c r="F88">
        <f t="shared" ca="1" si="20"/>
        <v>4.2699999999999996</v>
      </c>
      <c r="G88">
        <f t="shared" ca="1" si="20"/>
        <v>2.7890000000000006</v>
      </c>
      <c r="H88">
        <f t="shared" ca="1" si="20"/>
        <v>4.1099999999999994</v>
      </c>
      <c r="I88">
        <f ca="1">SQRT((INDIRECT("R[-1]C[-8]",0) - INDIRECT("RC[-8]",0))^2 + (INDIRECT("R[-1]C[-7]",0) - INDIRECT("RC[-7]",0))^2)</f>
        <v>5.1001393118227663</v>
      </c>
      <c r="J88">
        <f ca="1">SQRT((INDIRECT("R[-1]C[-9]",0) - INDIRECT("RC[-9]",0))^2 + (INDIRECT("R[-1]C[-7]",0) - INDIRECT("RC[-7]",0))^2)</f>
        <v>5.9266347955648486</v>
      </c>
      <c r="K88">
        <f ca="1">SQRT((INDIRECT("R[-1]C[-9]",0) - INDIRECT("RC[-9]",0))^2 + (INDIRECT("R[-1]C[-8]",0) - INDIRECT("RC[-8]",0))^2)</f>
        <v>4.9669528888444265</v>
      </c>
    </row>
    <row r="89" spans="1:11" x14ac:dyDescent="0.25">
      <c r="D89" t="s">
        <v>4</v>
      </c>
      <c r="E89">
        <f t="shared" ref="E89:K89" ca="1" si="21">(INDIRECT("R[-1]C",0) + INDIRECT("R[-2]C",0) + INDIRECT("R[-3]C",0) + INDIRECT("R[-4]C",0))</f>
        <v>35.564484887633753</v>
      </c>
      <c r="F89">
        <f t="shared" ca="1" si="21"/>
        <v>23.45</v>
      </c>
      <c r="G89">
        <f t="shared" ca="1" si="21"/>
        <v>20.509</v>
      </c>
      <c r="H89">
        <f t="shared" ca="1" si="21"/>
        <v>13.469999999999999</v>
      </c>
      <c r="I89">
        <f t="shared" ca="1" si="21"/>
        <v>31.938277413793536</v>
      </c>
      <c r="J89">
        <f t="shared" ca="1" si="21"/>
        <v>28.559345132744298</v>
      </c>
      <c r="K89">
        <f t="shared" ca="1" si="21"/>
        <v>25.442733916865691</v>
      </c>
    </row>
    <row r="90" spans="1:11" x14ac:dyDescent="0.25">
      <c r="A90" t="s">
        <v>18</v>
      </c>
    </row>
    <row r="91" spans="1:11" x14ac:dyDescent="0.25">
      <c r="A91" s="1" t="s">
        <v>23</v>
      </c>
      <c r="B91" s="1" t="s">
        <v>26</v>
      </c>
      <c r="C91" s="1" t="s">
        <v>22</v>
      </c>
      <c r="D91" t="s">
        <v>10</v>
      </c>
      <c r="E91" t="s">
        <v>14</v>
      </c>
      <c r="F91" t="s">
        <v>13</v>
      </c>
      <c r="G91" t="s">
        <v>12</v>
      </c>
      <c r="H91" t="s">
        <v>11</v>
      </c>
      <c r="I91" t="s">
        <v>15</v>
      </c>
      <c r="J91" t="s">
        <v>16</v>
      </c>
      <c r="K91" t="s">
        <v>17</v>
      </c>
    </row>
    <row r="92" spans="1:11" x14ac:dyDescent="0.25">
      <c r="A92">
        <f>AxisValue(A91,4)</f>
        <v>7.8</v>
      </c>
      <c r="B92">
        <f>AxisValue(B91,4)</f>
        <v>-1.5</v>
      </c>
      <c r="C92">
        <f>AxisValue(C91,4)</f>
        <v>2.7</v>
      </c>
      <c r="D92">
        <f ca="1">SQRT(INDIRECT("RC[-3]",0)^2 + INDIRECT("RC[-2]",0)^2 + INDIRECT("RC[-1]",0)^2)</f>
        <v>8.3892788724657379</v>
      </c>
    </row>
    <row r="93" spans="1:11" x14ac:dyDescent="0.25">
      <c r="A93">
        <f>AxisValue(A91,5)</f>
        <v>-3.5</v>
      </c>
      <c r="B93">
        <f>AxisValue(B91,5)</f>
        <v>-9</v>
      </c>
      <c r="C93">
        <f>AxisValue(C91,5)</f>
        <v>1</v>
      </c>
      <c r="D93">
        <f ca="1">SQRT(INDIRECT("RC[-3]",0)^2 + INDIRECT("RC[-2]",0)^2 + INDIRECT("RC[-1]",0)^2)</f>
        <v>9.7082439194737997</v>
      </c>
      <c r="E93">
        <f ca="1">SQRT((INDIRECT("R[-1]C[-4]",0) - INDIRECT("RC[-4]",0))^2 + (INDIRECT("R[-1]C[-3]",0) - INDIRECT("RC[-3]",0))^2 + (INDIRECT("R[-1]C[-2]",0) - INDIRECT("RC[-2]",0))^2)</f>
        <v>13.668577102244402</v>
      </c>
      <c r="F93">
        <f t="shared" ref="F93:H96" ca="1" si="22">SQRT((INDIRECT("R[-1]C[-5]",0) - INDIRECT("RC[-5]",0))^2)</f>
        <v>11.3</v>
      </c>
      <c r="G93">
        <f t="shared" ca="1" si="22"/>
        <v>7.5</v>
      </c>
      <c r="H93">
        <f t="shared" ca="1" si="22"/>
        <v>1.7000000000000002</v>
      </c>
      <c r="I93">
        <f ca="1">SQRT((INDIRECT("R[-1]C[-8]",0) - INDIRECT("RC[-8]",0))^2 + (INDIRECT("R[-1]C[-7]",0) - INDIRECT("RC[-7]",0))^2)</f>
        <v>13.56244815658294</v>
      </c>
      <c r="J93">
        <f ca="1">SQRT((INDIRECT("R[-1]C[-9]",0) - INDIRECT("RC[-9]",0))^2 + (INDIRECT("R[-1]C[-7]",0) - INDIRECT("RC[-7]",0))^2)</f>
        <v>11.427160627207444</v>
      </c>
      <c r="K93">
        <f ca="1">SQRT((INDIRECT("R[-1]C[-9]",0) - INDIRECT("RC[-9]",0))^2 + (INDIRECT("R[-1]C[-8]",0) - INDIRECT("RC[-8]",0))^2)</f>
        <v>7.6902535718921516</v>
      </c>
    </row>
    <row r="94" spans="1:11" x14ac:dyDescent="0.25">
      <c r="A94">
        <f>AxisValue(A91,6)</f>
        <v>0.44</v>
      </c>
      <c r="B94">
        <f>AxisValue(B91,6)</f>
        <v>-6.33</v>
      </c>
      <c r="C94">
        <f>AxisValue(C91,6)</f>
        <v>3.33</v>
      </c>
      <c r="D94">
        <f ca="1">SQRT(INDIRECT("RC[-3]",0)^2 + INDIRECT("RC[-2]",0)^2 + INDIRECT("RC[-1]",0)^2)</f>
        <v>7.1659891152582702</v>
      </c>
      <c r="E94">
        <f ca="1">SQRT((INDIRECT("R[-1]C[-4]",0) - INDIRECT("RC[-4]",0))^2 + (INDIRECT("R[-1]C[-3]",0) - INDIRECT("RC[-3]",0))^2 + (INDIRECT("R[-1]C[-2]",0) - INDIRECT("RC[-2]",0))^2)</f>
        <v>5.2991886171375331</v>
      </c>
      <c r="F94">
        <f t="shared" ca="1" si="22"/>
        <v>3.94</v>
      </c>
      <c r="G94">
        <f t="shared" ca="1" si="22"/>
        <v>2.67</v>
      </c>
      <c r="H94">
        <f t="shared" ca="1" si="22"/>
        <v>2.33</v>
      </c>
      <c r="I94">
        <f ca="1">SQRT((INDIRECT("R[-1]C[-8]",0) - INDIRECT("RC[-8]",0))^2 + (INDIRECT("R[-1]C[-7]",0) - INDIRECT("RC[-7]",0))^2)</f>
        <v>4.7594642555649056</v>
      </c>
      <c r="J94">
        <f ca="1">SQRT((INDIRECT("R[-1]C[-9]",0) - INDIRECT("RC[-9]",0))^2 + (INDIRECT("R[-1]C[-7]",0) - INDIRECT("RC[-7]",0))^2)</f>
        <v>4.5773900860643284</v>
      </c>
      <c r="K94">
        <f ca="1">SQRT((INDIRECT("R[-1]C[-9]",0) - INDIRECT("RC[-9]",0))^2 + (INDIRECT("R[-1]C[-8]",0) - INDIRECT("RC[-8]",0))^2)</f>
        <v>3.5436986327846784</v>
      </c>
    </row>
    <row r="95" spans="1:11" x14ac:dyDescent="0.25">
      <c r="A95">
        <f>AxisValue(A91,7)</f>
        <v>-3.5</v>
      </c>
      <c r="B95">
        <f>AxisValue(B91,7)</f>
        <v>1.22</v>
      </c>
      <c r="C95">
        <f>AxisValue(C91,7)</f>
        <v>-2</v>
      </c>
      <c r="D95">
        <f ca="1">SQRT(INDIRECT("RC[-3]",0)^2 + INDIRECT("RC[-2]",0)^2 + INDIRECT("RC[-1]",0)^2)</f>
        <v>4.2116979948709519</v>
      </c>
      <c r="E95">
        <f ca="1">SQRT((INDIRECT("R[-1]C[-4]",0) - INDIRECT("RC[-4]",0))^2 + (INDIRECT("R[-1]C[-3]",0) - INDIRECT("RC[-3]",0))^2 + (INDIRECT("R[-1]C[-2]",0) - INDIRECT("RC[-2]",0))^2)</f>
        <v>10.04664122978421</v>
      </c>
      <c r="F95">
        <f t="shared" ca="1" si="22"/>
        <v>3.94</v>
      </c>
      <c r="G95">
        <f t="shared" ca="1" si="22"/>
        <v>7.55</v>
      </c>
      <c r="H95">
        <f t="shared" ca="1" si="22"/>
        <v>5.33</v>
      </c>
      <c r="I95">
        <f ca="1">SQRT((INDIRECT("R[-1]C[-8]",0) - INDIRECT("RC[-8]",0))^2 + (INDIRECT("R[-1]C[-7]",0) - INDIRECT("RC[-7]",0))^2)</f>
        <v>8.516225689822928</v>
      </c>
      <c r="J95">
        <f ca="1">SQRT((INDIRECT("R[-1]C[-9]",0) - INDIRECT("RC[-9]",0))^2 + (INDIRECT("R[-1]C[-7]",0) - INDIRECT("RC[-7]",0))^2)</f>
        <v>6.6281596239076803</v>
      </c>
      <c r="K95">
        <f ca="1">SQRT((INDIRECT("R[-1]C[-9]",0) - INDIRECT("RC[-9]",0))^2 + (INDIRECT("R[-1]C[-8]",0) - INDIRECT("RC[-8]",0))^2)</f>
        <v>9.2418288233444361</v>
      </c>
    </row>
    <row r="96" spans="1:11" x14ac:dyDescent="0.25">
      <c r="A96">
        <f>AxisValue(A91,8)</f>
        <v>0.77</v>
      </c>
      <c r="B96">
        <f>AxisValue(B91,8)</f>
        <v>4.0090000000000003</v>
      </c>
      <c r="C96">
        <f>AxisValue(C91,8)</f>
        <v>2.11</v>
      </c>
      <c r="D96">
        <f ca="1">SQRT(INDIRECT("RC[-3]",0)^2 + INDIRECT("RC[-2]",0)^2 + INDIRECT("RC[-1]",0)^2)</f>
        <v>4.5953325233327789</v>
      </c>
      <c r="E96">
        <f ca="1">SQRT((INDIRECT("R[-1]C[-4]",0) - INDIRECT("RC[-4]",0))^2 + (INDIRECT("R[-1]C[-3]",0) - INDIRECT("RC[-3]",0))^2 + (INDIRECT("R[-1]C[-2]",0) - INDIRECT("RC[-2]",0))^2)</f>
        <v>6.5500779384676022</v>
      </c>
      <c r="F96">
        <f t="shared" ca="1" si="22"/>
        <v>4.2699999999999996</v>
      </c>
      <c r="G96">
        <f t="shared" ca="1" si="22"/>
        <v>2.7890000000000006</v>
      </c>
      <c r="H96">
        <f t="shared" ca="1" si="22"/>
        <v>4.1099999999999994</v>
      </c>
      <c r="I96">
        <f ca="1">SQRT((INDIRECT("R[-1]C[-8]",0) - INDIRECT("RC[-8]",0))^2 + (INDIRECT("R[-1]C[-7]",0) - INDIRECT("RC[-7]",0))^2)</f>
        <v>5.1001393118227663</v>
      </c>
      <c r="J96">
        <f ca="1">SQRT((INDIRECT("R[-1]C[-9]",0) - INDIRECT("RC[-9]",0))^2 + (INDIRECT("R[-1]C[-7]",0) - INDIRECT("RC[-7]",0))^2)</f>
        <v>5.9266347955648486</v>
      </c>
      <c r="K96">
        <f ca="1">SQRT((INDIRECT("R[-1]C[-9]",0) - INDIRECT("RC[-9]",0))^2 + (INDIRECT("R[-1]C[-8]",0) - INDIRECT("RC[-8]",0))^2)</f>
        <v>4.9669528888444265</v>
      </c>
    </row>
    <row r="97" spans="1:11" x14ac:dyDescent="0.25">
      <c r="D97" t="s">
        <v>4</v>
      </c>
      <c r="E97">
        <f t="shared" ref="E97:K97" ca="1" si="23">(INDIRECT("R[-1]C",0) + INDIRECT("R[-2]C",0) + INDIRECT("R[-3]C",0) + INDIRECT("R[-4]C",0))</f>
        <v>35.564484887633753</v>
      </c>
      <c r="F97">
        <f t="shared" ca="1" si="23"/>
        <v>23.45</v>
      </c>
      <c r="G97">
        <f t="shared" ca="1" si="23"/>
        <v>20.509</v>
      </c>
      <c r="H97">
        <f t="shared" ca="1" si="23"/>
        <v>13.469999999999999</v>
      </c>
      <c r="I97">
        <f t="shared" ca="1" si="23"/>
        <v>31.938277413793536</v>
      </c>
      <c r="J97">
        <f t="shared" ca="1" si="23"/>
        <v>28.559345132744298</v>
      </c>
      <c r="K97">
        <f t="shared" ca="1" si="23"/>
        <v>25.442733916865691</v>
      </c>
    </row>
    <row r="98" spans="1:11" x14ac:dyDescent="0.25">
      <c r="A98" t="s">
        <v>18</v>
      </c>
    </row>
    <row r="99" spans="1:11" x14ac:dyDescent="0.25">
      <c r="A99" s="1" t="s">
        <v>23</v>
      </c>
      <c r="B99" s="1" t="s">
        <v>26</v>
      </c>
      <c r="C99" s="1" t="s">
        <v>25</v>
      </c>
      <c r="D99" t="s">
        <v>10</v>
      </c>
      <c r="E99" t="s">
        <v>14</v>
      </c>
      <c r="F99" t="s">
        <v>13</v>
      </c>
      <c r="G99" t="s">
        <v>12</v>
      </c>
      <c r="H99" t="s">
        <v>11</v>
      </c>
      <c r="I99" t="s">
        <v>15</v>
      </c>
      <c r="J99" t="s">
        <v>16</v>
      </c>
      <c r="K99" t="s">
        <v>17</v>
      </c>
    </row>
    <row r="100" spans="1:11" x14ac:dyDescent="0.25">
      <c r="A100">
        <f>AxisValue(A99,4)</f>
        <v>7.8</v>
      </c>
      <c r="B100">
        <f>AxisValue(B99,4)</f>
        <v>-1.5</v>
      </c>
      <c r="C100">
        <f>AxisValue(C99,4)</f>
        <v>-2.7</v>
      </c>
      <c r="D100">
        <f ca="1">SQRT(INDIRECT("RC[-3]",0)^2 + INDIRECT("RC[-2]",0)^2 + INDIRECT("RC[-1]",0)^2)</f>
        <v>8.3892788724657379</v>
      </c>
    </row>
    <row r="101" spans="1:11" x14ac:dyDescent="0.25">
      <c r="A101">
        <f>AxisValue(A99,5)</f>
        <v>-3.5</v>
      </c>
      <c r="B101">
        <f>AxisValue(B99,5)</f>
        <v>-9</v>
      </c>
      <c r="C101">
        <f>AxisValue(C99,5)</f>
        <v>-1</v>
      </c>
      <c r="D101">
        <f ca="1">SQRT(INDIRECT("RC[-3]",0)^2 + INDIRECT("RC[-2]",0)^2 + INDIRECT("RC[-1]",0)^2)</f>
        <v>9.7082439194737997</v>
      </c>
      <c r="E101">
        <f ca="1">SQRT((INDIRECT("R[-1]C[-4]",0) - INDIRECT("RC[-4]",0))^2 + (INDIRECT("R[-1]C[-3]",0) - INDIRECT("RC[-3]",0))^2 + (INDIRECT("R[-1]C[-2]",0) - INDIRECT("RC[-2]",0))^2)</f>
        <v>13.668577102244402</v>
      </c>
      <c r="F101">
        <f t="shared" ref="F101:H104" ca="1" si="24">SQRT((INDIRECT("R[-1]C[-5]",0) - INDIRECT("RC[-5]",0))^2)</f>
        <v>11.3</v>
      </c>
      <c r="G101">
        <f t="shared" ca="1" si="24"/>
        <v>7.5</v>
      </c>
      <c r="H101">
        <f t="shared" ca="1" si="24"/>
        <v>1.7000000000000002</v>
      </c>
      <c r="I101">
        <f ca="1">SQRT((INDIRECT("R[-1]C[-8]",0) - INDIRECT("RC[-8]",0))^2 + (INDIRECT("R[-1]C[-7]",0) - INDIRECT("RC[-7]",0))^2)</f>
        <v>13.56244815658294</v>
      </c>
      <c r="J101">
        <f ca="1">SQRT((INDIRECT("R[-1]C[-9]",0) - INDIRECT("RC[-9]",0))^2 + (INDIRECT("R[-1]C[-7]",0) - INDIRECT("RC[-7]",0))^2)</f>
        <v>11.427160627207444</v>
      </c>
      <c r="K101">
        <f ca="1">SQRT((INDIRECT("R[-1]C[-9]",0) - INDIRECT("RC[-9]",0))^2 + (INDIRECT("R[-1]C[-8]",0) - INDIRECT("RC[-8]",0))^2)</f>
        <v>7.6902535718921516</v>
      </c>
    </row>
    <row r="102" spans="1:11" x14ac:dyDescent="0.25">
      <c r="A102">
        <f>AxisValue(A99,6)</f>
        <v>0.44</v>
      </c>
      <c r="B102">
        <f>AxisValue(B99,6)</f>
        <v>-6.33</v>
      </c>
      <c r="C102">
        <f>AxisValue(C99,6)</f>
        <v>-3.33</v>
      </c>
      <c r="D102">
        <f ca="1">SQRT(INDIRECT("RC[-3]",0)^2 + INDIRECT("RC[-2]",0)^2 + INDIRECT("RC[-1]",0)^2)</f>
        <v>7.1659891152582702</v>
      </c>
      <c r="E102">
        <f ca="1">SQRT((INDIRECT("R[-1]C[-4]",0) - INDIRECT("RC[-4]",0))^2 + (INDIRECT("R[-1]C[-3]",0) - INDIRECT("RC[-3]",0))^2 + (INDIRECT("R[-1]C[-2]",0) - INDIRECT("RC[-2]",0))^2)</f>
        <v>5.2991886171375331</v>
      </c>
      <c r="F102">
        <f t="shared" ca="1" si="24"/>
        <v>3.94</v>
      </c>
      <c r="G102">
        <f t="shared" ca="1" si="24"/>
        <v>2.67</v>
      </c>
      <c r="H102">
        <f t="shared" ca="1" si="24"/>
        <v>2.33</v>
      </c>
      <c r="I102">
        <f ca="1">SQRT((INDIRECT("R[-1]C[-8]",0) - INDIRECT("RC[-8]",0))^2 + (INDIRECT("R[-1]C[-7]",0) - INDIRECT("RC[-7]",0))^2)</f>
        <v>4.7594642555649056</v>
      </c>
      <c r="J102">
        <f ca="1">SQRT((INDIRECT("R[-1]C[-9]",0) - INDIRECT("RC[-9]",0))^2 + (INDIRECT("R[-1]C[-7]",0) - INDIRECT("RC[-7]",0))^2)</f>
        <v>4.5773900860643284</v>
      </c>
      <c r="K102">
        <f ca="1">SQRT((INDIRECT("R[-1]C[-9]",0) - INDIRECT("RC[-9]",0))^2 + (INDIRECT("R[-1]C[-8]",0) - INDIRECT("RC[-8]",0))^2)</f>
        <v>3.5436986327846784</v>
      </c>
    </row>
    <row r="103" spans="1:11" x14ac:dyDescent="0.25">
      <c r="A103">
        <f>AxisValue(A99,7)</f>
        <v>-3.5</v>
      </c>
      <c r="B103">
        <f>AxisValue(B99,7)</f>
        <v>1.22</v>
      </c>
      <c r="C103">
        <f>AxisValue(C99,7)</f>
        <v>2</v>
      </c>
      <c r="D103">
        <f ca="1">SQRT(INDIRECT("RC[-3]",0)^2 + INDIRECT("RC[-2]",0)^2 + INDIRECT("RC[-1]",0)^2)</f>
        <v>4.2116979948709519</v>
      </c>
      <c r="E103">
        <f ca="1">SQRT((INDIRECT("R[-1]C[-4]",0) - INDIRECT("RC[-4]",0))^2 + (INDIRECT("R[-1]C[-3]",0) - INDIRECT("RC[-3]",0))^2 + (INDIRECT("R[-1]C[-2]",0) - INDIRECT("RC[-2]",0))^2)</f>
        <v>10.04664122978421</v>
      </c>
      <c r="F103">
        <f t="shared" ca="1" si="24"/>
        <v>3.94</v>
      </c>
      <c r="G103">
        <f t="shared" ca="1" si="24"/>
        <v>7.55</v>
      </c>
      <c r="H103">
        <f t="shared" ca="1" si="24"/>
        <v>5.33</v>
      </c>
      <c r="I103">
        <f ca="1">SQRT((INDIRECT("R[-1]C[-8]",0) - INDIRECT("RC[-8]",0))^2 + (INDIRECT("R[-1]C[-7]",0) - INDIRECT("RC[-7]",0))^2)</f>
        <v>8.516225689822928</v>
      </c>
      <c r="J103">
        <f ca="1">SQRT((INDIRECT("R[-1]C[-9]",0) - INDIRECT("RC[-9]",0))^2 + (INDIRECT("R[-1]C[-7]",0) - INDIRECT("RC[-7]",0))^2)</f>
        <v>6.6281596239076803</v>
      </c>
      <c r="K103">
        <f ca="1">SQRT((INDIRECT("R[-1]C[-9]",0) - INDIRECT("RC[-9]",0))^2 + (INDIRECT("R[-1]C[-8]",0) - INDIRECT("RC[-8]",0))^2)</f>
        <v>9.2418288233444361</v>
      </c>
    </row>
    <row r="104" spans="1:11" x14ac:dyDescent="0.25">
      <c r="A104">
        <f>AxisValue(A99,8)</f>
        <v>0.77</v>
      </c>
      <c r="B104">
        <f>AxisValue(B99,8)</f>
        <v>4.0090000000000003</v>
      </c>
      <c r="C104">
        <f>AxisValue(C99,8)</f>
        <v>-2.11</v>
      </c>
      <c r="D104">
        <f ca="1">SQRT(INDIRECT("RC[-3]",0)^2 + INDIRECT("RC[-2]",0)^2 + INDIRECT("RC[-1]",0)^2)</f>
        <v>4.5953325233327789</v>
      </c>
      <c r="E104">
        <f ca="1">SQRT((INDIRECT("R[-1]C[-4]",0) - INDIRECT("RC[-4]",0))^2 + (INDIRECT("R[-1]C[-3]",0) - INDIRECT("RC[-3]",0))^2 + (INDIRECT("R[-1]C[-2]",0) - INDIRECT("RC[-2]",0))^2)</f>
        <v>6.5500779384676022</v>
      </c>
      <c r="F104">
        <f t="shared" ca="1" si="24"/>
        <v>4.2699999999999996</v>
      </c>
      <c r="G104">
        <f t="shared" ca="1" si="24"/>
        <v>2.7890000000000006</v>
      </c>
      <c r="H104">
        <f t="shared" ca="1" si="24"/>
        <v>4.1099999999999994</v>
      </c>
      <c r="I104">
        <f ca="1">SQRT((INDIRECT("R[-1]C[-8]",0) - INDIRECT("RC[-8]",0))^2 + (INDIRECT("R[-1]C[-7]",0) - INDIRECT("RC[-7]",0))^2)</f>
        <v>5.1001393118227663</v>
      </c>
      <c r="J104">
        <f ca="1">SQRT((INDIRECT("R[-1]C[-9]",0) - INDIRECT("RC[-9]",0))^2 + (INDIRECT("R[-1]C[-7]",0) - INDIRECT("RC[-7]",0))^2)</f>
        <v>5.9266347955648486</v>
      </c>
      <c r="K104">
        <f ca="1">SQRT((INDIRECT("R[-1]C[-9]",0) - INDIRECT("RC[-9]",0))^2 + (INDIRECT("R[-1]C[-8]",0) - INDIRECT("RC[-8]",0))^2)</f>
        <v>4.9669528888444265</v>
      </c>
    </row>
    <row r="105" spans="1:11" x14ac:dyDescent="0.25">
      <c r="D105" t="s">
        <v>4</v>
      </c>
      <c r="E105">
        <f t="shared" ref="E105:K105" ca="1" si="25">(INDIRECT("R[-1]C",0) + INDIRECT("R[-2]C",0) + INDIRECT("R[-3]C",0) + INDIRECT("R[-4]C",0))</f>
        <v>35.564484887633753</v>
      </c>
      <c r="F105">
        <f t="shared" ca="1" si="25"/>
        <v>23.45</v>
      </c>
      <c r="G105">
        <f t="shared" ca="1" si="25"/>
        <v>20.509</v>
      </c>
      <c r="H105">
        <f t="shared" ca="1" si="25"/>
        <v>13.469999999999999</v>
      </c>
      <c r="I105">
        <f t="shared" ca="1" si="25"/>
        <v>31.938277413793536</v>
      </c>
      <c r="J105">
        <f t="shared" ca="1" si="25"/>
        <v>28.559345132744298</v>
      </c>
      <c r="K105">
        <f t="shared" ca="1" si="25"/>
        <v>25.442733916865691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105"/>
  <sheetViews>
    <sheetView zoomScale="85" zoomScaleNormal="85" workbookViewId="0">
      <selection activeCell="F106" sqref="F106"/>
    </sheetView>
  </sheetViews>
  <sheetFormatPr defaultRowHeight="15" x14ac:dyDescent="0.25"/>
  <cols>
    <col min="4" max="11" width="13.7109375" customWidth="1"/>
  </cols>
  <sheetData>
    <row r="2" spans="1:11" x14ac:dyDescent="0.25">
      <c r="A2" t="s">
        <v>19</v>
      </c>
      <c r="B2" t="s">
        <v>20</v>
      </c>
    </row>
    <row r="3" spans="1:11" x14ac:dyDescent="0.25">
      <c r="A3" t="s">
        <v>0</v>
      </c>
      <c r="B3" t="s">
        <v>1</v>
      </c>
      <c r="C3" t="s">
        <v>2</v>
      </c>
      <c r="D3" t="s">
        <v>10</v>
      </c>
      <c r="E3" t="s">
        <v>9</v>
      </c>
      <c r="F3" t="s">
        <v>13</v>
      </c>
      <c r="G3" t="s">
        <v>12</v>
      </c>
      <c r="H3" t="s">
        <v>11</v>
      </c>
      <c r="I3" t="s">
        <v>15</v>
      </c>
      <c r="J3" t="s">
        <v>16</v>
      </c>
      <c r="K3" t="s">
        <v>17</v>
      </c>
    </row>
    <row r="4" spans="1:11" x14ac:dyDescent="0.25">
      <c r="A4">
        <v>0.9</v>
      </c>
      <c r="B4">
        <v>2.99</v>
      </c>
      <c r="C4">
        <v>1.1100000000000001</v>
      </c>
    </row>
    <row r="5" spans="1:11" x14ac:dyDescent="0.25">
      <c r="A5">
        <v>-0.6</v>
      </c>
      <c r="B5">
        <v>3.7</v>
      </c>
      <c r="C5">
        <v>3.4</v>
      </c>
      <c r="E5">
        <f ca="1">SQRT((INDIRECT("R[-1]C[-4]",0) - INDIRECT("RC[-4]",0))^2 + (INDIRECT("R[-1]C[-3]",0) - INDIRECT("RC[-3]",0))^2 + (INDIRECT("R[-1]C[-2]",0) - INDIRECT("RC[-2]",0))^2)</f>
        <v>2.8281089087940021</v>
      </c>
      <c r="F5">
        <f t="shared" ref="F5:H8" ca="1" si="0">SQRT((INDIRECT("R[-1]C[-5]",0) - INDIRECT("RC[-5]",0))^2)</f>
        <v>1.5</v>
      </c>
      <c r="G5">
        <f t="shared" ca="1" si="0"/>
        <v>0.71</v>
      </c>
      <c r="H5">
        <f t="shared" ca="1" si="0"/>
        <v>2.29</v>
      </c>
      <c r="I5">
        <f ca="1">SQRT((INDIRECT("R[-1]C[-8]",0) - INDIRECT("RC[-8]",0))^2 + (INDIRECT("R[-1]C[-7]",0) - INDIRECT("RC[-7]",0))^2)</f>
        <v>1.6595481312694731</v>
      </c>
      <c r="J5">
        <f ca="1">SQRT((INDIRECT("R[-1]C[-9]",0) - INDIRECT("RC[-9]",0))^2 + (INDIRECT("R[-1]C[-7]",0) - INDIRECT("RC[-7]",0))^2)</f>
        <v>2.7375353878991229</v>
      </c>
      <c r="K5">
        <f ca="1">SQRT((INDIRECT("R[-1]C[-9]",0) - INDIRECT("RC[-9]",0))^2 + (INDIRECT("R[-1]C[-8]",0) - INDIRECT("RC[-8]",0))^2)</f>
        <v>2.3975404063331238</v>
      </c>
    </row>
    <row r="6" spans="1:11" x14ac:dyDescent="0.25">
      <c r="A6">
        <v>-8</v>
      </c>
      <c r="B6">
        <v>5.7</v>
      </c>
      <c r="C6">
        <v>7.8</v>
      </c>
      <c r="E6">
        <f ca="1">SQRT((INDIRECT("R[-1]C[-4]",0) - INDIRECT("RC[-4]",0))^2 + (INDIRECT("R[-1]C[-3]",0) - INDIRECT("RC[-3]",0))^2 + (INDIRECT("R[-1]C[-2]",0) - INDIRECT("RC[-2]",0))^2)</f>
        <v>8.8385519175937421</v>
      </c>
      <c r="F6">
        <f t="shared" ca="1" si="0"/>
        <v>7.4</v>
      </c>
      <c r="G6">
        <f t="shared" ca="1" si="0"/>
        <v>2</v>
      </c>
      <c r="H6">
        <f t="shared" ca="1" si="0"/>
        <v>4.4000000000000004</v>
      </c>
      <c r="I6">
        <f ca="1">SQRT((INDIRECT("R[-1]C[-8]",0) - INDIRECT("RC[-8]",0))^2 + (INDIRECT("R[-1]C[-7]",0) - INDIRECT("RC[-7]",0))^2)</f>
        <v>7.6655071586947203</v>
      </c>
      <c r="J6">
        <f ca="1">SQRT((INDIRECT("R[-1]C[-9]",0) - INDIRECT("RC[-9]",0))^2 + (INDIRECT("R[-1]C[-7]",0) - INDIRECT("RC[-7]",0))^2)</f>
        <v>8.6092973000123543</v>
      </c>
      <c r="K6">
        <f ca="1">SQRT((INDIRECT("R[-1]C[-9]",0) - INDIRECT("RC[-9]",0))^2 + (INDIRECT("R[-1]C[-8]",0) - INDIRECT("RC[-8]",0))^2)</f>
        <v>4.8332183894378291</v>
      </c>
    </row>
    <row r="7" spans="1:11" x14ac:dyDescent="0.25">
      <c r="A7">
        <v>-5</v>
      </c>
      <c r="B7">
        <v>2.2999999999999998</v>
      </c>
      <c r="C7">
        <v>5.6</v>
      </c>
      <c r="E7">
        <f ca="1">SQRT((INDIRECT("R[-1]C[-4]",0) - INDIRECT("RC[-4]",0))^2 + (INDIRECT("R[-1]C[-3]",0) - INDIRECT("RC[-3]",0))^2 + (INDIRECT("R[-1]C[-2]",0) - INDIRECT("RC[-2]",0))^2)</f>
        <v>5.0398412673416608</v>
      </c>
      <c r="F7">
        <f t="shared" ca="1" si="0"/>
        <v>3</v>
      </c>
      <c r="G7">
        <f t="shared" ca="1" si="0"/>
        <v>3.4000000000000004</v>
      </c>
      <c r="H7">
        <f t="shared" ca="1" si="0"/>
        <v>2.2000000000000002</v>
      </c>
      <c r="I7">
        <f ca="1">SQRT((INDIRECT("R[-1]C[-8]",0) - INDIRECT("RC[-8]",0))^2 + (INDIRECT("R[-1]C[-7]",0) - INDIRECT("RC[-7]",0))^2)</f>
        <v>4.5343136195018534</v>
      </c>
      <c r="J7">
        <f ca="1">SQRT((INDIRECT("R[-1]C[-9]",0) - INDIRECT("RC[-9]",0))^2 + (INDIRECT("R[-1]C[-7]",0) - INDIRECT("RC[-7]",0))^2)</f>
        <v>3.7202150475476548</v>
      </c>
      <c r="K7">
        <f ca="1">SQRT((INDIRECT("R[-1]C[-9]",0) - INDIRECT("RC[-9]",0))^2 + (INDIRECT("R[-1]C[-8]",0) - INDIRECT("RC[-8]",0))^2)</f>
        <v>4.0496913462633177</v>
      </c>
    </row>
    <row r="8" spans="1:11" x14ac:dyDescent="0.25">
      <c r="A8">
        <v>1.1000000000000001</v>
      </c>
      <c r="B8">
        <v>1.2</v>
      </c>
      <c r="C8">
        <v>11.1</v>
      </c>
      <c r="E8">
        <f ca="1">SQRT((INDIRECT("R[-1]C[-4]",0) - INDIRECT("RC[-4]",0))^2 + (INDIRECT("R[-1]C[-3]",0) - INDIRECT("RC[-3]",0))^2 + (INDIRECT("R[-1]C[-2]",0) - INDIRECT("RC[-2]",0))^2)</f>
        <v>8.286736390159879</v>
      </c>
      <c r="F8">
        <f t="shared" ca="1" si="0"/>
        <v>6.1</v>
      </c>
      <c r="G8">
        <f t="shared" ca="1" si="0"/>
        <v>1.0999999999999999</v>
      </c>
      <c r="H8">
        <f t="shared" ca="1" si="0"/>
        <v>5.5</v>
      </c>
      <c r="I8">
        <f ca="1">SQRT((INDIRECT("R[-1]C[-8]",0) - INDIRECT("RC[-8]",0))^2 + (INDIRECT("R[-1]C[-7]",0) - INDIRECT("RC[-7]",0))^2)</f>
        <v>6.1983868869246939</v>
      </c>
      <c r="J8">
        <f ca="1">SQRT((INDIRECT("R[-1]C[-9]",0) - INDIRECT("RC[-9]",0))^2 + (INDIRECT("R[-1]C[-7]",0) - INDIRECT("RC[-7]",0))^2)</f>
        <v>8.2134036793524281</v>
      </c>
      <c r="K8">
        <f ca="1">SQRT((INDIRECT("R[-1]C[-9]",0) - INDIRECT("RC[-9]",0))^2 + (INDIRECT("R[-1]C[-8]",0) - INDIRECT("RC[-8]",0))^2)</f>
        <v>5.6089214649520631</v>
      </c>
    </row>
    <row r="9" spans="1:11" x14ac:dyDescent="0.25">
      <c r="D9" t="s">
        <v>4</v>
      </c>
      <c r="E9">
        <f t="shared" ref="E9:K9" ca="1" si="1">(INDIRECT("R[-1]C",0) + INDIRECT("R[-2]C",0) + INDIRECT("R[-3]C",0) + INDIRECT("R[-4]C",0))</f>
        <v>24.993238483889286</v>
      </c>
      <c r="F9">
        <f t="shared" ca="1" si="1"/>
        <v>18</v>
      </c>
      <c r="G9">
        <f t="shared" ca="1" si="1"/>
        <v>7.21</v>
      </c>
      <c r="H9">
        <f t="shared" ca="1" si="1"/>
        <v>14.39</v>
      </c>
      <c r="I9">
        <f t="shared" ca="1" si="1"/>
        <v>20.05775579639074</v>
      </c>
      <c r="J9">
        <f t="shared" ca="1" si="1"/>
        <v>23.280451414811559</v>
      </c>
      <c r="K9">
        <f t="shared" ca="1" si="1"/>
        <v>16.889371606986334</v>
      </c>
    </row>
    <row r="10" spans="1:11" x14ac:dyDescent="0.25">
      <c r="A10" t="s">
        <v>18</v>
      </c>
    </row>
    <row r="11" spans="1:11" x14ac:dyDescent="0.25">
      <c r="A11" s="1" t="s">
        <v>24</v>
      </c>
      <c r="B11" s="1" t="s">
        <v>21</v>
      </c>
      <c r="C11" s="1" t="s">
        <v>22</v>
      </c>
      <c r="D11" t="s">
        <v>10</v>
      </c>
      <c r="E11" t="s">
        <v>14</v>
      </c>
      <c r="F11" t="s">
        <v>13</v>
      </c>
      <c r="G11" t="s">
        <v>12</v>
      </c>
      <c r="H11" t="s">
        <v>11</v>
      </c>
      <c r="I11" t="s">
        <v>15</v>
      </c>
      <c r="J11" t="s">
        <v>16</v>
      </c>
      <c r="K11" t="s">
        <v>17</v>
      </c>
    </row>
    <row r="12" spans="1:11" x14ac:dyDescent="0.25">
      <c r="A12">
        <f>AxisValue(A11,4)</f>
        <v>-7.8</v>
      </c>
      <c r="B12">
        <f>AxisValue(B11,4)</f>
        <v>1.5</v>
      </c>
      <c r="C12">
        <f>AxisValue(C11,4)</f>
        <v>2.7</v>
      </c>
      <c r="D12">
        <f ca="1">SQRT(INDIRECT("RC[-3]",0)^2 + INDIRECT("RC[-2]",0)^2 + INDIRECT("RC[-1]",0)^2)</f>
        <v>8.3892788724657379</v>
      </c>
    </row>
    <row r="13" spans="1:11" x14ac:dyDescent="0.25">
      <c r="A13">
        <f>AxisValue(A11,5)</f>
        <v>3.5</v>
      </c>
      <c r="B13">
        <f>AxisValue(B11,5)</f>
        <v>9</v>
      </c>
      <c r="C13">
        <f>AxisValue(C11,5)</f>
        <v>1</v>
      </c>
      <c r="D13">
        <f ca="1">SQRT(INDIRECT("RC[-3]",0)^2 + INDIRECT("RC[-2]",0)^2 + INDIRECT("RC[-1]",0)^2)</f>
        <v>9.7082439194737997</v>
      </c>
      <c r="E13">
        <f ca="1">SQRT((INDIRECT("R[-1]C[-4]",0) - INDIRECT("RC[-4]",0))^2 + (INDIRECT("R[-1]C[-3]",0) - INDIRECT("RC[-3]",0))^2 + (INDIRECT("R[-1]C[-2]",0) - INDIRECT("RC[-2]",0))^2)</f>
        <v>13.668577102244402</v>
      </c>
      <c r="F13">
        <f t="shared" ref="F13:H16" ca="1" si="2">SQRT((INDIRECT("R[-1]C[-5]",0) - INDIRECT("RC[-5]",0))^2)</f>
        <v>11.3</v>
      </c>
      <c r="G13">
        <f t="shared" ca="1" si="2"/>
        <v>7.5</v>
      </c>
      <c r="H13">
        <f t="shared" ca="1" si="2"/>
        <v>1.7000000000000002</v>
      </c>
      <c r="I13">
        <f ca="1">SQRT((INDIRECT("R[-1]C[-8]",0) - INDIRECT("RC[-8]",0))^2 + (INDIRECT("R[-1]C[-7]",0) - INDIRECT("RC[-7]",0))^2)</f>
        <v>13.56244815658294</v>
      </c>
      <c r="J13">
        <f ca="1">SQRT((INDIRECT("R[-1]C[-9]",0) - INDIRECT("RC[-9]",0))^2 + (INDIRECT("R[-1]C[-7]",0) - INDIRECT("RC[-7]",0))^2)</f>
        <v>11.427160627207444</v>
      </c>
      <c r="K13">
        <f ca="1">SQRT((INDIRECT("R[-1]C[-9]",0) - INDIRECT("RC[-9]",0))^2 + (INDIRECT("R[-1]C[-8]",0) - INDIRECT("RC[-8]",0))^2)</f>
        <v>7.6902535718921516</v>
      </c>
    </row>
    <row r="14" spans="1:11" x14ac:dyDescent="0.25">
      <c r="A14">
        <f>AxisValue(A11,6)</f>
        <v>-0.44</v>
      </c>
      <c r="B14">
        <f>AxisValue(B11,6)</f>
        <v>6.33</v>
      </c>
      <c r="C14">
        <f>AxisValue(C11,6)</f>
        <v>3.33</v>
      </c>
      <c r="D14">
        <f ca="1">SQRT(INDIRECT("RC[-3]",0)^2 + INDIRECT("RC[-2]",0)^2 + INDIRECT("RC[-1]",0)^2)</f>
        <v>7.1659891152582702</v>
      </c>
      <c r="E14">
        <f ca="1">SQRT((INDIRECT("R[-1]C[-4]",0) - INDIRECT("RC[-4]",0))^2 + (INDIRECT("R[-1]C[-3]",0) - INDIRECT("RC[-3]",0))^2 + (INDIRECT("R[-1]C[-2]",0) - INDIRECT("RC[-2]",0))^2)</f>
        <v>5.2991886171375331</v>
      </c>
      <c r="F14">
        <f t="shared" ca="1" si="2"/>
        <v>3.94</v>
      </c>
      <c r="G14">
        <f t="shared" ca="1" si="2"/>
        <v>2.67</v>
      </c>
      <c r="H14">
        <f t="shared" ca="1" si="2"/>
        <v>2.33</v>
      </c>
      <c r="I14">
        <f ca="1">SQRT((INDIRECT("R[-1]C[-8]",0) - INDIRECT("RC[-8]",0))^2 + (INDIRECT("R[-1]C[-7]",0) - INDIRECT("RC[-7]",0))^2)</f>
        <v>4.7594642555649056</v>
      </c>
      <c r="J14">
        <f ca="1">SQRT((INDIRECT("R[-1]C[-9]",0) - INDIRECT("RC[-9]",0))^2 + (INDIRECT("R[-1]C[-7]",0) - INDIRECT("RC[-7]",0))^2)</f>
        <v>4.5773900860643284</v>
      </c>
      <c r="K14">
        <f ca="1">SQRT((INDIRECT("R[-1]C[-9]",0) - INDIRECT("RC[-9]",0))^2 + (INDIRECT("R[-1]C[-8]",0) - INDIRECT("RC[-8]",0))^2)</f>
        <v>3.5436986327846784</v>
      </c>
    </row>
    <row r="15" spans="1:11" x14ac:dyDescent="0.25">
      <c r="A15">
        <f>AxisValue(A11,7)</f>
        <v>3.5</v>
      </c>
      <c r="B15">
        <f>AxisValue(B11,7)</f>
        <v>-1.22</v>
      </c>
      <c r="C15">
        <f>AxisValue(C11,7)</f>
        <v>-2</v>
      </c>
      <c r="D15">
        <f ca="1">SQRT(INDIRECT("RC[-3]",0)^2 + INDIRECT("RC[-2]",0)^2 + INDIRECT("RC[-1]",0)^2)</f>
        <v>4.2116979948709519</v>
      </c>
      <c r="E15">
        <f ca="1">SQRT((INDIRECT("R[-1]C[-4]",0) - INDIRECT("RC[-4]",0))^2 + (INDIRECT("R[-1]C[-3]",0) - INDIRECT("RC[-3]",0))^2 + (INDIRECT("R[-1]C[-2]",0) - INDIRECT("RC[-2]",0))^2)</f>
        <v>10.04664122978421</v>
      </c>
      <c r="F15">
        <f t="shared" ca="1" si="2"/>
        <v>3.94</v>
      </c>
      <c r="G15">
        <f t="shared" ca="1" si="2"/>
        <v>7.55</v>
      </c>
      <c r="H15">
        <f t="shared" ca="1" si="2"/>
        <v>5.33</v>
      </c>
      <c r="I15">
        <f ca="1">SQRT((INDIRECT("R[-1]C[-8]",0) - INDIRECT("RC[-8]",0))^2 + (INDIRECT("R[-1]C[-7]",0) - INDIRECT("RC[-7]",0))^2)</f>
        <v>8.516225689822928</v>
      </c>
      <c r="J15">
        <f ca="1">SQRT((INDIRECT("R[-1]C[-9]",0) - INDIRECT("RC[-9]",0))^2 + (INDIRECT("R[-1]C[-7]",0) - INDIRECT("RC[-7]",0))^2)</f>
        <v>6.6281596239076803</v>
      </c>
      <c r="K15">
        <f ca="1">SQRT((INDIRECT("R[-1]C[-9]",0) - INDIRECT("RC[-9]",0))^2 + (INDIRECT("R[-1]C[-8]",0) - INDIRECT("RC[-8]",0))^2)</f>
        <v>9.2418288233444361</v>
      </c>
    </row>
    <row r="16" spans="1:11" x14ac:dyDescent="0.25">
      <c r="A16">
        <f>AxisValue(A11,8)</f>
        <v>-0.77</v>
      </c>
      <c r="B16">
        <f>AxisValue(B11,8)</f>
        <v>-4.0090000000000003</v>
      </c>
      <c r="C16">
        <f>AxisValue(C11,8)</f>
        <v>2.11</v>
      </c>
      <c r="D16">
        <f ca="1">SQRT(INDIRECT("RC[-3]",0)^2 + INDIRECT("RC[-2]",0)^2 + INDIRECT("RC[-1]",0)^2)</f>
        <v>4.5953325233327789</v>
      </c>
      <c r="E16">
        <f ca="1">SQRT((INDIRECT("R[-1]C[-4]",0) - INDIRECT("RC[-4]",0))^2 + (INDIRECT("R[-1]C[-3]",0) - INDIRECT("RC[-3]",0))^2 + (INDIRECT("R[-1]C[-2]",0) - INDIRECT("RC[-2]",0))^2)</f>
        <v>6.5500779384676022</v>
      </c>
      <c r="F16">
        <f t="shared" ca="1" si="2"/>
        <v>4.2699999999999996</v>
      </c>
      <c r="G16">
        <f t="shared" ca="1" si="2"/>
        <v>2.7890000000000006</v>
      </c>
      <c r="H16">
        <f t="shared" ca="1" si="2"/>
        <v>4.1099999999999994</v>
      </c>
      <c r="I16">
        <f ca="1">SQRT((INDIRECT("R[-1]C[-8]",0) - INDIRECT("RC[-8]",0))^2 + (INDIRECT("R[-1]C[-7]",0) - INDIRECT("RC[-7]",0))^2)</f>
        <v>5.1001393118227663</v>
      </c>
      <c r="J16">
        <f ca="1">SQRT((INDIRECT("R[-1]C[-9]",0) - INDIRECT("RC[-9]",0))^2 + (INDIRECT("R[-1]C[-7]",0) - INDIRECT("RC[-7]",0))^2)</f>
        <v>5.9266347955648486</v>
      </c>
      <c r="K16">
        <f ca="1">SQRT((INDIRECT("R[-1]C[-9]",0) - INDIRECT("RC[-9]",0))^2 + (INDIRECT("R[-1]C[-8]",0) - INDIRECT("RC[-8]",0))^2)</f>
        <v>4.9669528888444265</v>
      </c>
    </row>
    <row r="17" spans="1:11" x14ac:dyDescent="0.25">
      <c r="D17" t="s">
        <v>4</v>
      </c>
      <c r="E17">
        <f t="shared" ref="E17:K17" ca="1" si="3">(INDIRECT("R[-1]C",0) + INDIRECT("R[-2]C",0) + INDIRECT("R[-3]C",0) + INDIRECT("R[-4]C",0))</f>
        <v>35.564484887633753</v>
      </c>
      <c r="F17">
        <f t="shared" ca="1" si="3"/>
        <v>23.45</v>
      </c>
      <c r="G17">
        <f t="shared" ca="1" si="3"/>
        <v>20.509</v>
      </c>
      <c r="H17">
        <f t="shared" ca="1" si="3"/>
        <v>13.469999999999999</v>
      </c>
      <c r="I17">
        <f t="shared" ca="1" si="3"/>
        <v>31.938277413793536</v>
      </c>
      <c r="J17">
        <f t="shared" ca="1" si="3"/>
        <v>28.559345132744298</v>
      </c>
      <c r="K17">
        <f t="shared" ca="1" si="3"/>
        <v>25.442733916865691</v>
      </c>
    </row>
    <row r="18" spans="1:11" x14ac:dyDescent="0.25">
      <c r="A18" t="s">
        <v>18</v>
      </c>
    </row>
    <row r="19" spans="1:11" x14ac:dyDescent="0.25">
      <c r="A19" s="1" t="s">
        <v>24</v>
      </c>
      <c r="B19" s="1" t="s">
        <v>21</v>
      </c>
      <c r="C19" s="1" t="s">
        <v>25</v>
      </c>
      <c r="D19" t="s">
        <v>10</v>
      </c>
      <c r="E19" t="s">
        <v>14</v>
      </c>
      <c r="F19" t="s">
        <v>13</v>
      </c>
      <c r="G19" t="s">
        <v>12</v>
      </c>
      <c r="H19" t="s">
        <v>11</v>
      </c>
      <c r="I19" t="s">
        <v>15</v>
      </c>
      <c r="J19" t="s">
        <v>16</v>
      </c>
      <c r="K19" t="s">
        <v>17</v>
      </c>
    </row>
    <row r="20" spans="1:11" x14ac:dyDescent="0.25">
      <c r="A20">
        <f>AxisValue(A19,4)</f>
        <v>-7.8</v>
      </c>
      <c r="B20">
        <f>AxisValue(B19,4)</f>
        <v>1.5</v>
      </c>
      <c r="C20">
        <f>AxisValue(C19,4)</f>
        <v>-2.7</v>
      </c>
      <c r="D20">
        <f ca="1">SQRT(INDIRECT("RC[-3]",0)^2 + INDIRECT("RC[-2]",0)^2 + INDIRECT("RC[-1]",0)^2)</f>
        <v>8.3892788724657379</v>
      </c>
    </row>
    <row r="21" spans="1:11" x14ac:dyDescent="0.25">
      <c r="A21">
        <f>AxisValue(A19,5)</f>
        <v>3.5</v>
      </c>
      <c r="B21">
        <f>AxisValue(B19,5)</f>
        <v>9</v>
      </c>
      <c r="C21">
        <f>AxisValue(C19,5)</f>
        <v>-1</v>
      </c>
      <c r="D21">
        <f ca="1">SQRT(INDIRECT("RC[-3]",0)^2 + INDIRECT("RC[-2]",0)^2 + INDIRECT("RC[-1]",0)^2)</f>
        <v>9.7082439194737997</v>
      </c>
      <c r="E21">
        <f ca="1">SQRT((INDIRECT("R[-1]C[-4]",0) - INDIRECT("RC[-4]",0))^2 + (INDIRECT("R[-1]C[-3]",0) - INDIRECT("RC[-3]",0))^2 + (INDIRECT("R[-1]C[-2]",0) - INDIRECT("RC[-2]",0))^2)</f>
        <v>13.668577102244402</v>
      </c>
      <c r="F21">
        <f t="shared" ref="F21:H24" ca="1" si="4">SQRT((INDIRECT("R[-1]C[-5]",0) - INDIRECT("RC[-5]",0))^2)</f>
        <v>11.3</v>
      </c>
      <c r="G21">
        <f t="shared" ca="1" si="4"/>
        <v>7.5</v>
      </c>
      <c r="H21">
        <f t="shared" ca="1" si="4"/>
        <v>1.7000000000000002</v>
      </c>
      <c r="I21">
        <f ca="1">SQRT((INDIRECT("R[-1]C[-8]",0) - INDIRECT("RC[-8]",0))^2 + (INDIRECT("R[-1]C[-7]",0) - INDIRECT("RC[-7]",0))^2)</f>
        <v>13.56244815658294</v>
      </c>
      <c r="J21">
        <f ca="1">SQRT((INDIRECT("R[-1]C[-9]",0) - INDIRECT("RC[-9]",0))^2 + (INDIRECT("R[-1]C[-7]",0) - INDIRECT("RC[-7]",0))^2)</f>
        <v>11.427160627207444</v>
      </c>
      <c r="K21">
        <f ca="1">SQRT((INDIRECT("R[-1]C[-9]",0) - INDIRECT("RC[-9]",0))^2 + (INDIRECT("R[-1]C[-8]",0) - INDIRECT("RC[-8]",0))^2)</f>
        <v>7.6902535718921516</v>
      </c>
    </row>
    <row r="22" spans="1:11" x14ac:dyDescent="0.25">
      <c r="A22">
        <f>AxisValue(A19,6)</f>
        <v>-0.44</v>
      </c>
      <c r="B22">
        <f>AxisValue(B19,6)</f>
        <v>6.33</v>
      </c>
      <c r="C22">
        <f>AxisValue(C19,6)</f>
        <v>-3.33</v>
      </c>
      <c r="D22">
        <f ca="1">SQRT(INDIRECT("RC[-3]",0)^2 + INDIRECT("RC[-2]",0)^2 + INDIRECT("RC[-1]",0)^2)</f>
        <v>7.1659891152582702</v>
      </c>
      <c r="E22">
        <f ca="1">SQRT((INDIRECT("R[-1]C[-4]",0) - INDIRECT("RC[-4]",0))^2 + (INDIRECT("R[-1]C[-3]",0) - INDIRECT("RC[-3]",0))^2 + (INDIRECT("R[-1]C[-2]",0) - INDIRECT("RC[-2]",0))^2)</f>
        <v>5.2991886171375331</v>
      </c>
      <c r="F22">
        <f t="shared" ca="1" si="4"/>
        <v>3.94</v>
      </c>
      <c r="G22">
        <f t="shared" ca="1" si="4"/>
        <v>2.67</v>
      </c>
      <c r="H22">
        <f t="shared" ca="1" si="4"/>
        <v>2.33</v>
      </c>
      <c r="I22">
        <f ca="1">SQRT((INDIRECT("R[-1]C[-8]",0) - INDIRECT("RC[-8]",0))^2 + (INDIRECT("R[-1]C[-7]",0) - INDIRECT("RC[-7]",0))^2)</f>
        <v>4.7594642555649056</v>
      </c>
      <c r="J22">
        <f ca="1">SQRT((INDIRECT("R[-1]C[-9]",0) - INDIRECT("RC[-9]",0))^2 + (INDIRECT("R[-1]C[-7]",0) - INDIRECT("RC[-7]",0))^2)</f>
        <v>4.5773900860643284</v>
      </c>
      <c r="K22">
        <f ca="1">SQRT((INDIRECT("R[-1]C[-9]",0) - INDIRECT("RC[-9]",0))^2 + (INDIRECT("R[-1]C[-8]",0) - INDIRECT("RC[-8]",0))^2)</f>
        <v>3.5436986327846784</v>
      </c>
    </row>
    <row r="23" spans="1:11" x14ac:dyDescent="0.25">
      <c r="A23">
        <f>AxisValue(A19,7)</f>
        <v>3.5</v>
      </c>
      <c r="B23">
        <f>AxisValue(B19,7)</f>
        <v>-1.22</v>
      </c>
      <c r="C23">
        <f>AxisValue(C19,7)</f>
        <v>2</v>
      </c>
      <c r="D23">
        <f ca="1">SQRT(INDIRECT("RC[-3]",0)^2 + INDIRECT("RC[-2]",0)^2 + INDIRECT("RC[-1]",0)^2)</f>
        <v>4.2116979948709519</v>
      </c>
      <c r="E23">
        <f ca="1">SQRT((INDIRECT("R[-1]C[-4]",0) - INDIRECT("RC[-4]",0))^2 + (INDIRECT("R[-1]C[-3]",0) - INDIRECT("RC[-3]",0))^2 + (INDIRECT("R[-1]C[-2]",0) - INDIRECT("RC[-2]",0))^2)</f>
        <v>10.04664122978421</v>
      </c>
      <c r="F23">
        <f t="shared" ca="1" si="4"/>
        <v>3.94</v>
      </c>
      <c r="G23">
        <f t="shared" ca="1" si="4"/>
        <v>7.55</v>
      </c>
      <c r="H23">
        <f t="shared" ca="1" si="4"/>
        <v>5.33</v>
      </c>
      <c r="I23">
        <f ca="1">SQRT((INDIRECT("R[-1]C[-8]",0) - INDIRECT("RC[-8]",0))^2 + (INDIRECT("R[-1]C[-7]",0) - INDIRECT("RC[-7]",0))^2)</f>
        <v>8.516225689822928</v>
      </c>
      <c r="J23">
        <f ca="1">SQRT((INDIRECT("R[-1]C[-9]",0) - INDIRECT("RC[-9]",0))^2 + (INDIRECT("R[-1]C[-7]",0) - INDIRECT("RC[-7]",0))^2)</f>
        <v>6.6281596239076803</v>
      </c>
      <c r="K23">
        <f ca="1">SQRT((INDIRECT("R[-1]C[-9]",0) - INDIRECT("RC[-9]",0))^2 + (INDIRECT("R[-1]C[-8]",0) - INDIRECT("RC[-8]",0))^2)</f>
        <v>9.2418288233444361</v>
      </c>
    </row>
    <row r="24" spans="1:11" x14ac:dyDescent="0.25">
      <c r="A24">
        <f>AxisValue(A19,8)</f>
        <v>-0.77</v>
      </c>
      <c r="B24">
        <f>AxisValue(B19,8)</f>
        <v>-4.0090000000000003</v>
      </c>
      <c r="C24">
        <f>AxisValue(C19,8)</f>
        <v>-2.11</v>
      </c>
      <c r="D24">
        <f ca="1">SQRT(INDIRECT("RC[-3]",0)^2 + INDIRECT("RC[-2]",0)^2 + INDIRECT("RC[-1]",0)^2)</f>
        <v>4.5953325233327789</v>
      </c>
      <c r="E24">
        <f ca="1">SQRT((INDIRECT("R[-1]C[-4]",0) - INDIRECT("RC[-4]",0))^2 + (INDIRECT("R[-1]C[-3]",0) - INDIRECT("RC[-3]",0))^2 + (INDIRECT("R[-1]C[-2]",0) - INDIRECT("RC[-2]",0))^2)</f>
        <v>6.5500779384676022</v>
      </c>
      <c r="F24">
        <f t="shared" ca="1" si="4"/>
        <v>4.2699999999999996</v>
      </c>
      <c r="G24">
        <f t="shared" ca="1" si="4"/>
        <v>2.7890000000000006</v>
      </c>
      <c r="H24">
        <f t="shared" ca="1" si="4"/>
        <v>4.1099999999999994</v>
      </c>
      <c r="I24">
        <f ca="1">SQRT((INDIRECT("R[-1]C[-8]",0) - INDIRECT("RC[-8]",0))^2 + (INDIRECT("R[-1]C[-7]",0) - INDIRECT("RC[-7]",0))^2)</f>
        <v>5.1001393118227663</v>
      </c>
      <c r="J24">
        <f ca="1">SQRT((INDIRECT("R[-1]C[-9]",0) - INDIRECT("RC[-9]",0))^2 + (INDIRECT("R[-1]C[-7]",0) - INDIRECT("RC[-7]",0))^2)</f>
        <v>5.9266347955648486</v>
      </c>
      <c r="K24">
        <f ca="1">SQRT((INDIRECT("R[-1]C[-9]",0) - INDIRECT("RC[-9]",0))^2 + (INDIRECT("R[-1]C[-8]",0) - INDIRECT("RC[-8]",0))^2)</f>
        <v>4.9669528888444265</v>
      </c>
    </row>
    <row r="25" spans="1:11" x14ac:dyDescent="0.25">
      <c r="D25" t="s">
        <v>4</v>
      </c>
      <c r="E25">
        <f t="shared" ref="E25:K25" ca="1" si="5">(INDIRECT("R[-1]C",0) + INDIRECT("R[-2]C",0) + INDIRECT("R[-3]C",0) + INDIRECT("R[-4]C",0))</f>
        <v>35.564484887633753</v>
      </c>
      <c r="F25">
        <f t="shared" ca="1" si="5"/>
        <v>23.45</v>
      </c>
      <c r="G25">
        <f t="shared" ca="1" si="5"/>
        <v>20.509</v>
      </c>
      <c r="H25">
        <f t="shared" ca="1" si="5"/>
        <v>13.469999999999999</v>
      </c>
      <c r="I25">
        <f t="shared" ca="1" si="5"/>
        <v>31.938277413793536</v>
      </c>
      <c r="J25">
        <f t="shared" ca="1" si="5"/>
        <v>28.559345132744298</v>
      </c>
      <c r="K25">
        <f t="shared" ca="1" si="5"/>
        <v>25.442733916865691</v>
      </c>
    </row>
    <row r="26" spans="1:11" x14ac:dyDescent="0.25">
      <c r="A26" t="s">
        <v>18</v>
      </c>
    </row>
    <row r="27" spans="1:11" x14ac:dyDescent="0.25">
      <c r="A27" s="1" t="s">
        <v>24</v>
      </c>
      <c r="B27" s="1" t="s">
        <v>26</v>
      </c>
      <c r="C27" s="1" t="s">
        <v>22</v>
      </c>
      <c r="D27" t="s">
        <v>10</v>
      </c>
      <c r="E27" t="s">
        <v>14</v>
      </c>
      <c r="F27" t="s">
        <v>13</v>
      </c>
      <c r="G27" t="s">
        <v>12</v>
      </c>
      <c r="H27" t="s">
        <v>11</v>
      </c>
      <c r="I27" t="s">
        <v>15</v>
      </c>
      <c r="J27" t="s">
        <v>16</v>
      </c>
      <c r="K27" t="s">
        <v>17</v>
      </c>
    </row>
    <row r="28" spans="1:11" x14ac:dyDescent="0.25">
      <c r="A28">
        <f>AxisValue(A27,4)</f>
        <v>-7.8</v>
      </c>
      <c r="B28">
        <f>AxisValue(B27,4)</f>
        <v>-1.5</v>
      </c>
      <c r="C28">
        <f>AxisValue(C27,4)</f>
        <v>2.7</v>
      </c>
      <c r="D28">
        <f ca="1">SQRT(INDIRECT("RC[-3]",0)^2 + INDIRECT("RC[-2]",0)^2 + INDIRECT("RC[-1]",0)^2)</f>
        <v>8.3892788724657379</v>
      </c>
    </row>
    <row r="29" spans="1:11" x14ac:dyDescent="0.25">
      <c r="A29">
        <f>AxisValue(A27,5)</f>
        <v>3.5</v>
      </c>
      <c r="B29">
        <f>AxisValue(B27,5)</f>
        <v>-9</v>
      </c>
      <c r="C29">
        <f>AxisValue(C27,5)</f>
        <v>1</v>
      </c>
      <c r="D29">
        <f ca="1">SQRT(INDIRECT("RC[-3]",0)^2 + INDIRECT("RC[-2]",0)^2 + INDIRECT("RC[-1]",0)^2)</f>
        <v>9.7082439194737997</v>
      </c>
      <c r="E29">
        <f ca="1">SQRT((INDIRECT("R[-1]C[-4]",0) - INDIRECT("RC[-4]",0))^2 + (INDIRECT("R[-1]C[-3]",0) - INDIRECT("RC[-3]",0))^2 + (INDIRECT("R[-1]C[-2]",0) - INDIRECT("RC[-2]",0))^2)</f>
        <v>13.668577102244402</v>
      </c>
      <c r="F29">
        <f t="shared" ref="F29:H32" ca="1" si="6">SQRT((INDIRECT("R[-1]C[-5]",0) - INDIRECT("RC[-5]",0))^2)</f>
        <v>11.3</v>
      </c>
      <c r="G29">
        <f t="shared" ca="1" si="6"/>
        <v>7.5</v>
      </c>
      <c r="H29">
        <f t="shared" ca="1" si="6"/>
        <v>1.7000000000000002</v>
      </c>
      <c r="I29">
        <f ca="1">SQRT((INDIRECT("R[-1]C[-8]",0) - INDIRECT("RC[-8]",0))^2 + (INDIRECT("R[-1]C[-7]",0) - INDIRECT("RC[-7]",0))^2)</f>
        <v>13.56244815658294</v>
      </c>
      <c r="J29">
        <f ca="1">SQRT((INDIRECT("R[-1]C[-9]",0) - INDIRECT("RC[-9]",0))^2 + (INDIRECT("R[-1]C[-7]",0) - INDIRECT("RC[-7]",0))^2)</f>
        <v>11.427160627207444</v>
      </c>
      <c r="K29">
        <f ca="1">SQRT((INDIRECT("R[-1]C[-9]",0) - INDIRECT("RC[-9]",0))^2 + (INDIRECT("R[-1]C[-8]",0) - INDIRECT("RC[-8]",0))^2)</f>
        <v>7.6902535718921516</v>
      </c>
    </row>
    <row r="30" spans="1:11" x14ac:dyDescent="0.25">
      <c r="A30">
        <f>AxisValue(A27,6)</f>
        <v>-0.44</v>
      </c>
      <c r="B30">
        <f>AxisValue(B27,6)</f>
        <v>-6.33</v>
      </c>
      <c r="C30">
        <f>AxisValue(C27,6)</f>
        <v>3.33</v>
      </c>
      <c r="D30">
        <f ca="1">SQRT(INDIRECT("RC[-3]",0)^2 + INDIRECT("RC[-2]",0)^2 + INDIRECT("RC[-1]",0)^2)</f>
        <v>7.1659891152582702</v>
      </c>
      <c r="E30">
        <f ca="1">SQRT((INDIRECT("R[-1]C[-4]",0) - INDIRECT("RC[-4]",0))^2 + (INDIRECT("R[-1]C[-3]",0) - INDIRECT("RC[-3]",0))^2 + (INDIRECT("R[-1]C[-2]",0) - INDIRECT("RC[-2]",0))^2)</f>
        <v>5.2991886171375331</v>
      </c>
      <c r="F30">
        <f t="shared" ca="1" si="6"/>
        <v>3.94</v>
      </c>
      <c r="G30">
        <f t="shared" ca="1" si="6"/>
        <v>2.67</v>
      </c>
      <c r="H30">
        <f t="shared" ca="1" si="6"/>
        <v>2.33</v>
      </c>
      <c r="I30">
        <f ca="1">SQRT((INDIRECT("R[-1]C[-8]",0) - INDIRECT("RC[-8]",0))^2 + (INDIRECT("R[-1]C[-7]",0) - INDIRECT("RC[-7]",0))^2)</f>
        <v>4.7594642555649056</v>
      </c>
      <c r="J30">
        <f ca="1">SQRT((INDIRECT("R[-1]C[-9]",0) - INDIRECT("RC[-9]",0))^2 + (INDIRECT("R[-1]C[-7]",0) - INDIRECT("RC[-7]",0))^2)</f>
        <v>4.5773900860643284</v>
      </c>
      <c r="K30">
        <f ca="1">SQRT((INDIRECT("R[-1]C[-9]",0) - INDIRECT("RC[-9]",0))^2 + (INDIRECT("R[-1]C[-8]",0) - INDIRECT("RC[-8]",0))^2)</f>
        <v>3.5436986327846784</v>
      </c>
    </row>
    <row r="31" spans="1:11" x14ac:dyDescent="0.25">
      <c r="A31">
        <f>AxisValue(A27,7)</f>
        <v>3.5</v>
      </c>
      <c r="B31">
        <f>AxisValue(B27,7)</f>
        <v>1.22</v>
      </c>
      <c r="C31">
        <f>AxisValue(C27,7)</f>
        <v>-2</v>
      </c>
      <c r="D31">
        <f ca="1">SQRT(INDIRECT("RC[-3]",0)^2 + INDIRECT("RC[-2]",0)^2 + INDIRECT("RC[-1]",0)^2)</f>
        <v>4.2116979948709519</v>
      </c>
      <c r="E31">
        <f ca="1">SQRT((INDIRECT("R[-1]C[-4]",0) - INDIRECT("RC[-4]",0))^2 + (INDIRECT("R[-1]C[-3]",0) - INDIRECT("RC[-3]",0))^2 + (INDIRECT("R[-1]C[-2]",0) - INDIRECT("RC[-2]",0))^2)</f>
        <v>10.04664122978421</v>
      </c>
      <c r="F31">
        <f t="shared" ca="1" si="6"/>
        <v>3.94</v>
      </c>
      <c r="G31">
        <f t="shared" ca="1" si="6"/>
        <v>7.55</v>
      </c>
      <c r="H31">
        <f t="shared" ca="1" si="6"/>
        <v>5.33</v>
      </c>
      <c r="I31">
        <f ca="1">SQRT((INDIRECT("R[-1]C[-8]",0) - INDIRECT("RC[-8]",0))^2 + (INDIRECT("R[-1]C[-7]",0) - INDIRECT("RC[-7]",0))^2)</f>
        <v>8.516225689822928</v>
      </c>
      <c r="J31">
        <f ca="1">SQRT((INDIRECT("R[-1]C[-9]",0) - INDIRECT("RC[-9]",0))^2 + (INDIRECT("R[-1]C[-7]",0) - INDIRECT("RC[-7]",0))^2)</f>
        <v>6.6281596239076803</v>
      </c>
      <c r="K31">
        <f ca="1">SQRT((INDIRECT("R[-1]C[-9]",0) - INDIRECT("RC[-9]",0))^2 + (INDIRECT("R[-1]C[-8]",0) - INDIRECT("RC[-8]",0))^2)</f>
        <v>9.2418288233444361</v>
      </c>
    </row>
    <row r="32" spans="1:11" x14ac:dyDescent="0.25">
      <c r="A32">
        <f>AxisValue(A27,8)</f>
        <v>-0.77</v>
      </c>
      <c r="B32">
        <f>AxisValue(B27,8)</f>
        <v>4.0090000000000003</v>
      </c>
      <c r="C32">
        <f>AxisValue(C27,8)</f>
        <v>2.11</v>
      </c>
      <c r="D32">
        <f ca="1">SQRT(INDIRECT("RC[-3]",0)^2 + INDIRECT("RC[-2]",0)^2 + INDIRECT("RC[-1]",0)^2)</f>
        <v>4.5953325233327789</v>
      </c>
      <c r="E32">
        <f ca="1">SQRT((INDIRECT("R[-1]C[-4]",0) - INDIRECT("RC[-4]",0))^2 + (INDIRECT("R[-1]C[-3]",0) - INDIRECT("RC[-3]",0))^2 + (INDIRECT("R[-1]C[-2]",0) - INDIRECT("RC[-2]",0))^2)</f>
        <v>6.5500779384676022</v>
      </c>
      <c r="F32">
        <f t="shared" ca="1" si="6"/>
        <v>4.2699999999999996</v>
      </c>
      <c r="G32">
        <f t="shared" ca="1" si="6"/>
        <v>2.7890000000000006</v>
      </c>
      <c r="H32">
        <f t="shared" ca="1" si="6"/>
        <v>4.1099999999999994</v>
      </c>
      <c r="I32">
        <f ca="1">SQRT((INDIRECT("R[-1]C[-8]",0) - INDIRECT("RC[-8]",0))^2 + (INDIRECT("R[-1]C[-7]",0) - INDIRECT("RC[-7]",0))^2)</f>
        <v>5.1001393118227663</v>
      </c>
      <c r="J32">
        <f ca="1">SQRT((INDIRECT("R[-1]C[-9]",0) - INDIRECT("RC[-9]",0))^2 + (INDIRECT("R[-1]C[-7]",0) - INDIRECT("RC[-7]",0))^2)</f>
        <v>5.9266347955648486</v>
      </c>
      <c r="K32">
        <f ca="1">SQRT((INDIRECT("R[-1]C[-9]",0) - INDIRECT("RC[-9]",0))^2 + (INDIRECT("R[-1]C[-8]",0) - INDIRECT("RC[-8]",0))^2)</f>
        <v>4.9669528888444265</v>
      </c>
    </row>
    <row r="33" spans="1:11" x14ac:dyDescent="0.25">
      <c r="D33" t="s">
        <v>4</v>
      </c>
      <c r="E33">
        <f t="shared" ref="E33:K33" ca="1" si="7">(INDIRECT("R[-1]C",0) + INDIRECT("R[-2]C",0) + INDIRECT("R[-3]C",0) + INDIRECT("R[-4]C",0))</f>
        <v>35.564484887633753</v>
      </c>
      <c r="F33">
        <f t="shared" ca="1" si="7"/>
        <v>23.45</v>
      </c>
      <c r="G33">
        <f t="shared" ca="1" si="7"/>
        <v>20.509</v>
      </c>
      <c r="H33">
        <f t="shared" ca="1" si="7"/>
        <v>13.469999999999999</v>
      </c>
      <c r="I33">
        <f t="shared" ca="1" si="7"/>
        <v>31.938277413793536</v>
      </c>
      <c r="J33">
        <f t="shared" ca="1" si="7"/>
        <v>28.559345132744298</v>
      </c>
      <c r="K33">
        <f t="shared" ca="1" si="7"/>
        <v>25.442733916865691</v>
      </c>
    </row>
    <row r="34" spans="1:11" x14ac:dyDescent="0.25">
      <c r="A34" t="s">
        <v>18</v>
      </c>
    </row>
    <row r="35" spans="1:11" x14ac:dyDescent="0.25">
      <c r="A35" s="1" t="s">
        <v>24</v>
      </c>
      <c r="B35" s="1" t="s">
        <v>26</v>
      </c>
      <c r="C35" s="1" t="s">
        <v>25</v>
      </c>
      <c r="D35" t="s">
        <v>10</v>
      </c>
      <c r="E35" t="s">
        <v>14</v>
      </c>
      <c r="F35" t="s">
        <v>13</v>
      </c>
      <c r="G35" t="s">
        <v>12</v>
      </c>
      <c r="H35" t="s">
        <v>11</v>
      </c>
      <c r="I35" t="s">
        <v>15</v>
      </c>
      <c r="J35" t="s">
        <v>16</v>
      </c>
      <c r="K35" t="s">
        <v>17</v>
      </c>
    </row>
    <row r="36" spans="1:11" x14ac:dyDescent="0.25">
      <c r="A36">
        <f>AxisValue(A35,4)</f>
        <v>-7.8</v>
      </c>
      <c r="B36">
        <f>AxisValue(B35,4)</f>
        <v>-1.5</v>
      </c>
      <c r="C36">
        <f>AxisValue(C35,4)</f>
        <v>-2.7</v>
      </c>
      <c r="D36">
        <f ca="1">SQRT(INDIRECT("RC[-3]",0)^2 + INDIRECT("RC[-2]",0)^2 + INDIRECT("RC[-1]",0)^2)</f>
        <v>8.3892788724657379</v>
      </c>
    </row>
    <row r="37" spans="1:11" x14ac:dyDescent="0.25">
      <c r="A37">
        <f>AxisValue(A35,5)</f>
        <v>3.5</v>
      </c>
      <c r="B37">
        <f>AxisValue(B35,5)</f>
        <v>-9</v>
      </c>
      <c r="C37">
        <f>AxisValue(C35,5)</f>
        <v>-1</v>
      </c>
      <c r="D37">
        <f ca="1">SQRT(INDIRECT("RC[-3]",0)^2 + INDIRECT("RC[-2]",0)^2 + INDIRECT("RC[-1]",0)^2)</f>
        <v>9.7082439194737997</v>
      </c>
      <c r="E37">
        <f ca="1">SQRT((INDIRECT("R[-1]C[-4]",0) - INDIRECT("RC[-4]",0))^2 + (INDIRECT("R[-1]C[-3]",0) - INDIRECT("RC[-3]",0))^2 + (INDIRECT("R[-1]C[-2]",0) - INDIRECT("RC[-2]",0))^2)</f>
        <v>13.668577102244402</v>
      </c>
      <c r="F37">
        <f t="shared" ref="F37:H40" ca="1" si="8">SQRT((INDIRECT("R[-1]C[-5]",0) - INDIRECT("RC[-5]",0))^2)</f>
        <v>11.3</v>
      </c>
      <c r="G37">
        <f t="shared" ca="1" si="8"/>
        <v>7.5</v>
      </c>
      <c r="H37">
        <f t="shared" ca="1" si="8"/>
        <v>1.7000000000000002</v>
      </c>
      <c r="I37">
        <f ca="1">SQRT((INDIRECT("R[-1]C[-8]",0) - INDIRECT("RC[-8]",0))^2 + (INDIRECT("R[-1]C[-7]",0) - INDIRECT("RC[-7]",0))^2)</f>
        <v>13.56244815658294</v>
      </c>
      <c r="J37">
        <f ca="1">SQRT((INDIRECT("R[-1]C[-9]",0) - INDIRECT("RC[-9]",0))^2 + (INDIRECT("R[-1]C[-7]",0) - INDIRECT("RC[-7]",0))^2)</f>
        <v>11.427160627207444</v>
      </c>
      <c r="K37">
        <f ca="1">SQRT((INDIRECT("R[-1]C[-9]",0) - INDIRECT("RC[-9]",0))^2 + (INDIRECT("R[-1]C[-8]",0) - INDIRECT("RC[-8]",0))^2)</f>
        <v>7.6902535718921516</v>
      </c>
    </row>
    <row r="38" spans="1:11" x14ac:dyDescent="0.25">
      <c r="A38">
        <f>AxisValue(A35,6)</f>
        <v>-0.44</v>
      </c>
      <c r="B38">
        <f>AxisValue(B35,6)</f>
        <v>-6.33</v>
      </c>
      <c r="C38">
        <f>AxisValue(C35,6)</f>
        <v>-3.33</v>
      </c>
      <c r="D38">
        <f ca="1">SQRT(INDIRECT("RC[-3]",0)^2 + INDIRECT("RC[-2]",0)^2 + INDIRECT("RC[-1]",0)^2)</f>
        <v>7.1659891152582702</v>
      </c>
      <c r="E38">
        <f ca="1">SQRT((INDIRECT("R[-1]C[-4]",0) - INDIRECT("RC[-4]",0))^2 + (INDIRECT("R[-1]C[-3]",0) - INDIRECT("RC[-3]",0))^2 + (INDIRECT("R[-1]C[-2]",0) - INDIRECT("RC[-2]",0))^2)</f>
        <v>5.2991886171375331</v>
      </c>
      <c r="F38">
        <f t="shared" ca="1" si="8"/>
        <v>3.94</v>
      </c>
      <c r="G38">
        <f t="shared" ca="1" si="8"/>
        <v>2.67</v>
      </c>
      <c r="H38">
        <f t="shared" ca="1" si="8"/>
        <v>2.33</v>
      </c>
      <c r="I38">
        <f ca="1">SQRT((INDIRECT("R[-1]C[-8]",0) - INDIRECT("RC[-8]",0))^2 + (INDIRECT("R[-1]C[-7]",0) - INDIRECT("RC[-7]",0))^2)</f>
        <v>4.7594642555649056</v>
      </c>
      <c r="J38">
        <f ca="1">SQRT((INDIRECT("R[-1]C[-9]",0) - INDIRECT("RC[-9]",0))^2 + (INDIRECT("R[-1]C[-7]",0) - INDIRECT("RC[-7]",0))^2)</f>
        <v>4.5773900860643284</v>
      </c>
      <c r="K38">
        <f ca="1">SQRT((INDIRECT("R[-1]C[-9]",0) - INDIRECT("RC[-9]",0))^2 + (INDIRECT("R[-1]C[-8]",0) - INDIRECT("RC[-8]",0))^2)</f>
        <v>3.5436986327846784</v>
      </c>
    </row>
    <row r="39" spans="1:11" x14ac:dyDescent="0.25">
      <c r="A39">
        <f>AxisValue(A35,7)</f>
        <v>3.5</v>
      </c>
      <c r="B39">
        <f>AxisValue(B35,7)</f>
        <v>1.22</v>
      </c>
      <c r="C39">
        <f>AxisValue(C35,7)</f>
        <v>2</v>
      </c>
      <c r="D39">
        <f ca="1">SQRT(INDIRECT("RC[-3]",0)^2 + INDIRECT("RC[-2]",0)^2 + INDIRECT("RC[-1]",0)^2)</f>
        <v>4.2116979948709519</v>
      </c>
      <c r="E39">
        <f ca="1">SQRT((INDIRECT("R[-1]C[-4]",0) - INDIRECT("RC[-4]",0))^2 + (INDIRECT("R[-1]C[-3]",0) - INDIRECT("RC[-3]",0))^2 + (INDIRECT("R[-1]C[-2]",0) - INDIRECT("RC[-2]",0))^2)</f>
        <v>10.04664122978421</v>
      </c>
      <c r="F39">
        <f t="shared" ca="1" si="8"/>
        <v>3.94</v>
      </c>
      <c r="G39">
        <f t="shared" ca="1" si="8"/>
        <v>7.55</v>
      </c>
      <c r="H39">
        <f t="shared" ca="1" si="8"/>
        <v>5.33</v>
      </c>
      <c r="I39">
        <f ca="1">SQRT((INDIRECT("R[-1]C[-8]",0) - INDIRECT("RC[-8]",0))^2 + (INDIRECT("R[-1]C[-7]",0) - INDIRECT("RC[-7]",0))^2)</f>
        <v>8.516225689822928</v>
      </c>
      <c r="J39">
        <f ca="1">SQRT((INDIRECT("R[-1]C[-9]",0) - INDIRECT("RC[-9]",0))^2 + (INDIRECT("R[-1]C[-7]",0) - INDIRECT("RC[-7]",0))^2)</f>
        <v>6.6281596239076803</v>
      </c>
      <c r="K39">
        <f ca="1">SQRT((INDIRECT("R[-1]C[-9]",0) - INDIRECT("RC[-9]",0))^2 + (INDIRECT("R[-1]C[-8]",0) - INDIRECT("RC[-8]",0))^2)</f>
        <v>9.2418288233444361</v>
      </c>
    </row>
    <row r="40" spans="1:11" x14ac:dyDescent="0.25">
      <c r="A40">
        <f>AxisValue(A35,8)</f>
        <v>-0.77</v>
      </c>
      <c r="B40">
        <f>AxisValue(B35,8)</f>
        <v>4.0090000000000003</v>
      </c>
      <c r="C40">
        <f>AxisValue(C35,8)</f>
        <v>-2.11</v>
      </c>
      <c r="D40">
        <f ca="1">SQRT(INDIRECT("RC[-3]",0)^2 + INDIRECT("RC[-2]",0)^2 + INDIRECT("RC[-1]",0)^2)</f>
        <v>4.5953325233327789</v>
      </c>
      <c r="E40">
        <f ca="1">SQRT((INDIRECT("R[-1]C[-4]",0) - INDIRECT("RC[-4]",0))^2 + (INDIRECT("R[-1]C[-3]",0) - INDIRECT("RC[-3]",0))^2 + (INDIRECT("R[-1]C[-2]",0) - INDIRECT("RC[-2]",0))^2)</f>
        <v>6.5500779384676022</v>
      </c>
      <c r="F40">
        <f t="shared" ca="1" si="8"/>
        <v>4.2699999999999996</v>
      </c>
      <c r="G40">
        <f t="shared" ca="1" si="8"/>
        <v>2.7890000000000006</v>
      </c>
      <c r="H40">
        <f t="shared" ca="1" si="8"/>
        <v>4.1099999999999994</v>
      </c>
      <c r="I40">
        <f ca="1">SQRT((INDIRECT("R[-1]C[-8]",0) - INDIRECT("RC[-8]",0))^2 + (INDIRECT("R[-1]C[-7]",0) - INDIRECT("RC[-7]",0))^2)</f>
        <v>5.1001393118227663</v>
      </c>
      <c r="J40">
        <f ca="1">SQRT((INDIRECT("R[-1]C[-9]",0) - INDIRECT("RC[-9]",0))^2 + (INDIRECT("R[-1]C[-7]",0) - INDIRECT("RC[-7]",0))^2)</f>
        <v>5.9266347955648486</v>
      </c>
      <c r="K40">
        <f ca="1">SQRT((INDIRECT("R[-1]C[-9]",0) - INDIRECT("RC[-9]",0))^2 + (INDIRECT("R[-1]C[-8]",0) - INDIRECT("RC[-8]",0))^2)</f>
        <v>4.9669528888444265</v>
      </c>
    </row>
    <row r="41" spans="1:11" x14ac:dyDescent="0.25">
      <c r="D41" t="s">
        <v>4</v>
      </c>
      <c r="E41">
        <f t="shared" ref="E41:K41" ca="1" si="9">(INDIRECT("R[-1]C",0) + INDIRECT("R[-2]C",0) + INDIRECT("R[-3]C",0) + INDIRECT("R[-4]C",0))</f>
        <v>35.564484887633753</v>
      </c>
      <c r="F41">
        <f t="shared" ca="1" si="9"/>
        <v>23.45</v>
      </c>
      <c r="G41">
        <f t="shared" ca="1" si="9"/>
        <v>20.509</v>
      </c>
      <c r="H41">
        <f t="shared" ca="1" si="9"/>
        <v>13.469999999999999</v>
      </c>
      <c r="I41">
        <f t="shared" ca="1" si="9"/>
        <v>31.938277413793536</v>
      </c>
      <c r="J41">
        <f t="shared" ca="1" si="9"/>
        <v>28.559345132744298</v>
      </c>
      <c r="K41">
        <f t="shared" ca="1" si="9"/>
        <v>25.442733916865691</v>
      </c>
    </row>
    <row r="42" spans="1:11" x14ac:dyDescent="0.25">
      <c r="A42" t="s">
        <v>18</v>
      </c>
    </row>
    <row r="43" spans="1:11" x14ac:dyDescent="0.25">
      <c r="A43" s="1" t="s">
        <v>23</v>
      </c>
      <c r="B43" s="1" t="s">
        <v>22</v>
      </c>
      <c r="C43" s="1" t="s">
        <v>21</v>
      </c>
      <c r="D43" t="s">
        <v>10</v>
      </c>
      <c r="E43" t="s">
        <v>14</v>
      </c>
      <c r="F43" t="s">
        <v>13</v>
      </c>
      <c r="G43" t="s">
        <v>12</v>
      </c>
      <c r="H43" t="s">
        <v>11</v>
      </c>
      <c r="I43" t="s">
        <v>15</v>
      </c>
      <c r="J43" t="s">
        <v>16</v>
      </c>
      <c r="K43" t="s">
        <v>17</v>
      </c>
    </row>
    <row r="44" spans="1:11" x14ac:dyDescent="0.25">
      <c r="A44">
        <f>AxisValue(A43,4)</f>
        <v>7.8</v>
      </c>
      <c r="B44">
        <f>AxisValue(B43,4)</f>
        <v>2.7</v>
      </c>
      <c r="C44">
        <f>AxisValue(C43,4)</f>
        <v>1.5</v>
      </c>
      <c r="D44">
        <f ca="1">SQRT(INDIRECT("RC[-3]",0)^2 + INDIRECT("RC[-2]",0)^2 + INDIRECT("RC[-1]",0)^2)</f>
        <v>8.3892788724657379</v>
      </c>
    </row>
    <row r="45" spans="1:11" x14ac:dyDescent="0.25">
      <c r="A45">
        <f>AxisValue(A43,5)</f>
        <v>-3.5</v>
      </c>
      <c r="B45">
        <f>AxisValue(B43,5)</f>
        <v>1</v>
      </c>
      <c r="C45">
        <f>AxisValue(C43,5)</f>
        <v>9</v>
      </c>
      <c r="D45">
        <f ca="1">SQRT(INDIRECT("RC[-3]",0)^2 + INDIRECT("RC[-2]",0)^2 + INDIRECT("RC[-1]",0)^2)</f>
        <v>9.7082439194737997</v>
      </c>
      <c r="E45">
        <f ca="1">SQRT((INDIRECT("R[-1]C[-4]",0) - INDIRECT("RC[-4]",0))^2 + (INDIRECT("R[-1]C[-3]",0) - INDIRECT("RC[-3]",0))^2 + (INDIRECT("R[-1]C[-2]",0) - INDIRECT("RC[-2]",0))^2)</f>
        <v>13.668577102244404</v>
      </c>
      <c r="F45">
        <f t="shared" ref="F45:H48" ca="1" si="10">SQRT((INDIRECT("R[-1]C[-5]",0) - INDIRECT("RC[-5]",0))^2)</f>
        <v>11.3</v>
      </c>
      <c r="G45">
        <f t="shared" ca="1" si="10"/>
        <v>1.7000000000000002</v>
      </c>
      <c r="H45">
        <f t="shared" ca="1" si="10"/>
        <v>7.5</v>
      </c>
      <c r="I45">
        <f ca="1">SQRT((INDIRECT("R[-1]C[-8]",0) - INDIRECT("RC[-8]",0))^2 + (INDIRECT("R[-1]C[-7]",0) - INDIRECT("RC[-7]",0))^2)</f>
        <v>11.427160627207444</v>
      </c>
      <c r="J45">
        <f ca="1">SQRT((INDIRECT("R[-1]C[-9]",0) - INDIRECT("RC[-9]",0))^2 + (INDIRECT("R[-1]C[-7]",0) - INDIRECT("RC[-7]",0))^2)</f>
        <v>13.56244815658294</v>
      </c>
      <c r="K45">
        <f ca="1">SQRT((INDIRECT("R[-1]C[-9]",0) - INDIRECT("RC[-9]",0))^2 + (INDIRECT("R[-1]C[-8]",0) - INDIRECT("RC[-8]",0))^2)</f>
        <v>7.6902535718921516</v>
      </c>
    </row>
    <row r="46" spans="1:11" x14ac:dyDescent="0.25">
      <c r="A46">
        <f>AxisValue(A43,6)</f>
        <v>0.44</v>
      </c>
      <c r="B46">
        <f>AxisValue(B43,6)</f>
        <v>3.33</v>
      </c>
      <c r="C46">
        <f>AxisValue(C43,6)</f>
        <v>6.33</v>
      </c>
      <c r="D46">
        <f ca="1">SQRT(INDIRECT("RC[-3]",0)^2 + INDIRECT("RC[-2]",0)^2 + INDIRECT("RC[-1]",0)^2)</f>
        <v>7.1659891152582693</v>
      </c>
      <c r="E46">
        <f ca="1">SQRT((INDIRECT("R[-1]C[-4]",0) - INDIRECT("RC[-4]",0))^2 + (INDIRECT("R[-1]C[-3]",0) - INDIRECT("RC[-3]",0))^2 + (INDIRECT("R[-1]C[-2]",0) - INDIRECT("RC[-2]",0))^2)</f>
        <v>5.2991886171375331</v>
      </c>
      <c r="F46">
        <f t="shared" ca="1" si="10"/>
        <v>3.94</v>
      </c>
      <c r="G46">
        <f t="shared" ca="1" si="10"/>
        <v>2.33</v>
      </c>
      <c r="H46">
        <f t="shared" ca="1" si="10"/>
        <v>2.67</v>
      </c>
      <c r="I46">
        <f ca="1">SQRT((INDIRECT("R[-1]C[-8]",0) - INDIRECT("RC[-8]",0))^2 + (INDIRECT("R[-1]C[-7]",0) - INDIRECT("RC[-7]",0))^2)</f>
        <v>4.5773900860643284</v>
      </c>
      <c r="J46">
        <f ca="1">SQRT((INDIRECT("R[-1]C[-9]",0) - INDIRECT("RC[-9]",0))^2 + (INDIRECT("R[-1]C[-7]",0) - INDIRECT("RC[-7]",0))^2)</f>
        <v>4.7594642555649056</v>
      </c>
      <c r="K46">
        <f ca="1">SQRT((INDIRECT("R[-1]C[-9]",0) - INDIRECT("RC[-9]",0))^2 + (INDIRECT("R[-1]C[-8]",0) - INDIRECT("RC[-8]",0))^2)</f>
        <v>3.5436986327846784</v>
      </c>
    </row>
    <row r="47" spans="1:11" x14ac:dyDescent="0.25">
      <c r="A47">
        <f>AxisValue(A43,7)</f>
        <v>-3.5</v>
      </c>
      <c r="B47">
        <f>AxisValue(B43,7)</f>
        <v>-2</v>
      </c>
      <c r="C47">
        <f>AxisValue(C43,7)</f>
        <v>-1.22</v>
      </c>
      <c r="D47">
        <f ca="1">SQRT(INDIRECT("RC[-3]",0)^2 + INDIRECT("RC[-2]",0)^2 + INDIRECT("RC[-1]",0)^2)</f>
        <v>4.2116979948709519</v>
      </c>
      <c r="E47">
        <f ca="1">SQRT((INDIRECT("R[-1]C[-4]",0) - INDIRECT("RC[-4]",0))^2 + (INDIRECT("R[-1]C[-3]",0) - INDIRECT("RC[-3]",0))^2 + (INDIRECT("R[-1]C[-2]",0) - INDIRECT("RC[-2]",0))^2)</f>
        <v>10.04664122978421</v>
      </c>
      <c r="F47">
        <f t="shared" ca="1" si="10"/>
        <v>3.94</v>
      </c>
      <c r="G47">
        <f t="shared" ca="1" si="10"/>
        <v>5.33</v>
      </c>
      <c r="H47">
        <f t="shared" ca="1" si="10"/>
        <v>7.55</v>
      </c>
      <c r="I47">
        <f ca="1">SQRT((INDIRECT("R[-1]C[-8]",0) - INDIRECT("RC[-8]",0))^2 + (INDIRECT("R[-1]C[-7]",0) - INDIRECT("RC[-7]",0))^2)</f>
        <v>6.6281596239076803</v>
      </c>
      <c r="J47">
        <f ca="1">SQRT((INDIRECT("R[-1]C[-9]",0) - INDIRECT("RC[-9]",0))^2 + (INDIRECT("R[-1]C[-7]",0) - INDIRECT("RC[-7]",0))^2)</f>
        <v>8.516225689822928</v>
      </c>
      <c r="K47">
        <f ca="1">SQRT((INDIRECT("R[-1]C[-9]",0) - INDIRECT("RC[-9]",0))^2 + (INDIRECT("R[-1]C[-8]",0) - INDIRECT("RC[-8]",0))^2)</f>
        <v>9.2418288233444361</v>
      </c>
    </row>
    <row r="48" spans="1:11" x14ac:dyDescent="0.25">
      <c r="A48">
        <f>AxisValue(A43,8)</f>
        <v>0.77</v>
      </c>
      <c r="B48">
        <f>AxisValue(B43,8)</f>
        <v>2.11</v>
      </c>
      <c r="C48">
        <f>AxisValue(C43,8)</f>
        <v>-4.0090000000000003</v>
      </c>
      <c r="D48">
        <f ca="1">SQRT(INDIRECT("RC[-3]",0)^2 + INDIRECT("RC[-2]",0)^2 + INDIRECT("RC[-1]",0)^2)</f>
        <v>4.5953325233327789</v>
      </c>
      <c r="E48">
        <f ca="1">SQRT((INDIRECT("R[-1]C[-4]",0) - INDIRECT("RC[-4]",0))^2 + (INDIRECT("R[-1]C[-3]",0) - INDIRECT("RC[-3]",0))^2 + (INDIRECT("R[-1]C[-2]",0) - INDIRECT("RC[-2]",0))^2)</f>
        <v>6.5500779384676022</v>
      </c>
      <c r="F48">
        <f t="shared" ca="1" si="10"/>
        <v>4.2699999999999996</v>
      </c>
      <c r="G48">
        <f t="shared" ca="1" si="10"/>
        <v>4.1099999999999994</v>
      </c>
      <c r="H48">
        <f t="shared" ca="1" si="10"/>
        <v>2.7890000000000006</v>
      </c>
      <c r="I48">
        <f ca="1">SQRT((INDIRECT("R[-1]C[-8]",0) - INDIRECT("RC[-8]",0))^2 + (INDIRECT("R[-1]C[-7]",0) - INDIRECT("RC[-7]",0))^2)</f>
        <v>5.9266347955648486</v>
      </c>
      <c r="J48">
        <f ca="1">SQRT((INDIRECT("R[-1]C[-9]",0) - INDIRECT("RC[-9]",0))^2 + (INDIRECT("R[-1]C[-7]",0) - INDIRECT("RC[-7]",0))^2)</f>
        <v>5.1001393118227663</v>
      </c>
      <c r="K48">
        <f ca="1">SQRT((INDIRECT("R[-1]C[-9]",0) - INDIRECT("RC[-9]",0))^2 + (INDIRECT("R[-1]C[-8]",0) - INDIRECT("RC[-8]",0))^2)</f>
        <v>4.9669528888444265</v>
      </c>
    </row>
    <row r="49" spans="1:11" x14ac:dyDescent="0.25">
      <c r="D49" t="s">
        <v>4</v>
      </c>
      <c r="E49">
        <f t="shared" ref="E49:K49" ca="1" si="11">(INDIRECT("R[-1]C",0) + INDIRECT("R[-2]C",0) + INDIRECT("R[-3]C",0) + INDIRECT("R[-4]C",0))</f>
        <v>35.564484887633753</v>
      </c>
      <c r="F49">
        <f t="shared" ca="1" si="11"/>
        <v>23.45</v>
      </c>
      <c r="G49">
        <f t="shared" ca="1" si="11"/>
        <v>13.469999999999999</v>
      </c>
      <c r="H49">
        <f t="shared" ca="1" si="11"/>
        <v>20.509</v>
      </c>
      <c r="I49">
        <f t="shared" ca="1" si="11"/>
        <v>28.559345132744298</v>
      </c>
      <c r="J49">
        <f t="shared" ca="1" si="11"/>
        <v>31.938277413793536</v>
      </c>
      <c r="K49">
        <f t="shared" ca="1" si="11"/>
        <v>25.442733916865691</v>
      </c>
    </row>
    <row r="50" spans="1:11" x14ac:dyDescent="0.25">
      <c r="A50" t="s">
        <v>18</v>
      </c>
    </row>
    <row r="51" spans="1:11" x14ac:dyDescent="0.25">
      <c r="A51" s="1" t="s">
        <v>23</v>
      </c>
      <c r="B51" s="1" t="s">
        <v>22</v>
      </c>
      <c r="C51" s="1" t="s">
        <v>26</v>
      </c>
      <c r="D51" t="s">
        <v>10</v>
      </c>
      <c r="E51" t="s">
        <v>14</v>
      </c>
      <c r="F51" t="s">
        <v>13</v>
      </c>
      <c r="G51" t="s">
        <v>12</v>
      </c>
      <c r="H51" t="s">
        <v>11</v>
      </c>
      <c r="I51" t="s">
        <v>15</v>
      </c>
      <c r="J51" t="s">
        <v>16</v>
      </c>
      <c r="K51" t="s">
        <v>17</v>
      </c>
    </row>
    <row r="52" spans="1:11" x14ac:dyDescent="0.25">
      <c r="A52">
        <f>AxisValue(A51,4)</f>
        <v>7.8</v>
      </c>
      <c r="B52">
        <f>AxisValue(B51,4)</f>
        <v>2.7</v>
      </c>
      <c r="C52">
        <f>AxisValue(C51,4)</f>
        <v>-1.5</v>
      </c>
      <c r="D52">
        <f ca="1">SQRT(INDIRECT("RC[-3]",0)^2 + INDIRECT("RC[-2]",0)^2 + INDIRECT("RC[-1]",0)^2)</f>
        <v>8.3892788724657379</v>
      </c>
    </row>
    <row r="53" spans="1:11" x14ac:dyDescent="0.25">
      <c r="A53">
        <f>AxisValue(A51,5)</f>
        <v>-3.5</v>
      </c>
      <c r="B53">
        <f>AxisValue(B51,5)</f>
        <v>1</v>
      </c>
      <c r="C53">
        <f>AxisValue(C51,5)</f>
        <v>-9</v>
      </c>
      <c r="D53">
        <f ca="1">SQRT(INDIRECT("RC[-3]",0)^2 + INDIRECT("RC[-2]",0)^2 + INDIRECT("RC[-1]",0)^2)</f>
        <v>9.7082439194737997</v>
      </c>
      <c r="E53">
        <f ca="1">SQRT((INDIRECT("R[-1]C[-4]",0) - INDIRECT("RC[-4]",0))^2 + (INDIRECT("R[-1]C[-3]",0) - INDIRECT("RC[-3]",0))^2 + (INDIRECT("R[-1]C[-2]",0) - INDIRECT("RC[-2]",0))^2)</f>
        <v>13.668577102244404</v>
      </c>
      <c r="F53">
        <f t="shared" ref="F53:H56" ca="1" si="12">SQRT((INDIRECT("R[-1]C[-5]",0) - INDIRECT("RC[-5]",0))^2)</f>
        <v>11.3</v>
      </c>
      <c r="G53">
        <f t="shared" ca="1" si="12"/>
        <v>1.7000000000000002</v>
      </c>
      <c r="H53">
        <f t="shared" ca="1" si="12"/>
        <v>7.5</v>
      </c>
      <c r="I53">
        <f ca="1">SQRT((INDIRECT("R[-1]C[-8]",0) - INDIRECT("RC[-8]",0))^2 + (INDIRECT("R[-1]C[-7]",0) - INDIRECT("RC[-7]",0))^2)</f>
        <v>11.427160627207444</v>
      </c>
      <c r="J53">
        <f ca="1">SQRT((INDIRECT("R[-1]C[-9]",0) - INDIRECT("RC[-9]",0))^2 + (INDIRECT("R[-1]C[-7]",0) - INDIRECT("RC[-7]",0))^2)</f>
        <v>13.56244815658294</v>
      </c>
      <c r="K53">
        <f ca="1">SQRT((INDIRECT("R[-1]C[-9]",0) - INDIRECT("RC[-9]",0))^2 + (INDIRECT("R[-1]C[-8]",0) - INDIRECT("RC[-8]",0))^2)</f>
        <v>7.6902535718921516</v>
      </c>
    </row>
    <row r="54" spans="1:11" x14ac:dyDescent="0.25">
      <c r="A54">
        <f>AxisValue(A51,6)</f>
        <v>0.44</v>
      </c>
      <c r="B54">
        <f>AxisValue(B51,6)</f>
        <v>3.33</v>
      </c>
      <c r="C54">
        <f>AxisValue(C51,6)</f>
        <v>-6.33</v>
      </c>
      <c r="D54">
        <f ca="1">SQRT(INDIRECT("RC[-3]",0)^2 + INDIRECT("RC[-2]",0)^2 + INDIRECT("RC[-1]",0)^2)</f>
        <v>7.1659891152582693</v>
      </c>
      <c r="E54">
        <f ca="1">SQRT((INDIRECT("R[-1]C[-4]",0) - INDIRECT("RC[-4]",0))^2 + (INDIRECT("R[-1]C[-3]",0) - INDIRECT("RC[-3]",0))^2 + (INDIRECT("R[-1]C[-2]",0) - INDIRECT("RC[-2]",0))^2)</f>
        <v>5.2991886171375331</v>
      </c>
      <c r="F54">
        <f t="shared" ca="1" si="12"/>
        <v>3.94</v>
      </c>
      <c r="G54">
        <f t="shared" ca="1" si="12"/>
        <v>2.33</v>
      </c>
      <c r="H54">
        <f t="shared" ca="1" si="12"/>
        <v>2.67</v>
      </c>
      <c r="I54">
        <f ca="1">SQRT((INDIRECT("R[-1]C[-8]",0) - INDIRECT("RC[-8]",0))^2 + (INDIRECT("R[-1]C[-7]",0) - INDIRECT("RC[-7]",0))^2)</f>
        <v>4.5773900860643284</v>
      </c>
      <c r="J54">
        <f ca="1">SQRT((INDIRECT("R[-1]C[-9]",0) - INDIRECT("RC[-9]",0))^2 + (INDIRECT("R[-1]C[-7]",0) - INDIRECT("RC[-7]",0))^2)</f>
        <v>4.7594642555649056</v>
      </c>
      <c r="K54">
        <f ca="1">SQRT((INDIRECT("R[-1]C[-9]",0) - INDIRECT("RC[-9]",0))^2 + (INDIRECT("R[-1]C[-8]",0) - INDIRECT("RC[-8]",0))^2)</f>
        <v>3.5436986327846784</v>
      </c>
    </row>
    <row r="55" spans="1:11" x14ac:dyDescent="0.25">
      <c r="A55">
        <f>AxisValue(A51,7)</f>
        <v>-3.5</v>
      </c>
      <c r="B55">
        <f>AxisValue(B51,7)</f>
        <v>-2</v>
      </c>
      <c r="C55">
        <f>AxisValue(C51,7)</f>
        <v>1.22</v>
      </c>
      <c r="D55">
        <f ca="1">SQRT(INDIRECT("RC[-3]",0)^2 + INDIRECT("RC[-2]",0)^2 + INDIRECT("RC[-1]",0)^2)</f>
        <v>4.2116979948709519</v>
      </c>
      <c r="E55">
        <f ca="1">SQRT((INDIRECT("R[-1]C[-4]",0) - INDIRECT("RC[-4]",0))^2 + (INDIRECT("R[-1]C[-3]",0) - INDIRECT("RC[-3]",0))^2 + (INDIRECT("R[-1]C[-2]",0) - INDIRECT("RC[-2]",0))^2)</f>
        <v>10.04664122978421</v>
      </c>
      <c r="F55">
        <f t="shared" ca="1" si="12"/>
        <v>3.94</v>
      </c>
      <c r="G55">
        <f t="shared" ca="1" si="12"/>
        <v>5.33</v>
      </c>
      <c r="H55">
        <f t="shared" ca="1" si="12"/>
        <v>7.55</v>
      </c>
      <c r="I55">
        <f ca="1">SQRT((INDIRECT("R[-1]C[-8]",0) - INDIRECT("RC[-8]",0))^2 + (INDIRECT("R[-1]C[-7]",0) - INDIRECT("RC[-7]",0))^2)</f>
        <v>6.6281596239076803</v>
      </c>
      <c r="J55">
        <f ca="1">SQRT((INDIRECT("R[-1]C[-9]",0) - INDIRECT("RC[-9]",0))^2 + (INDIRECT("R[-1]C[-7]",0) - INDIRECT("RC[-7]",0))^2)</f>
        <v>8.516225689822928</v>
      </c>
      <c r="K55">
        <f ca="1">SQRT((INDIRECT("R[-1]C[-9]",0) - INDIRECT("RC[-9]",0))^2 + (INDIRECT("R[-1]C[-8]",0) - INDIRECT("RC[-8]",0))^2)</f>
        <v>9.2418288233444361</v>
      </c>
    </row>
    <row r="56" spans="1:11" x14ac:dyDescent="0.25">
      <c r="A56">
        <f>AxisValue(A51,8)</f>
        <v>0.77</v>
      </c>
      <c r="B56">
        <f>AxisValue(B51,8)</f>
        <v>2.11</v>
      </c>
      <c r="C56">
        <f>AxisValue(C51,8)</f>
        <v>4.0090000000000003</v>
      </c>
      <c r="D56">
        <f ca="1">SQRT(INDIRECT("RC[-3]",0)^2 + INDIRECT("RC[-2]",0)^2 + INDIRECT("RC[-1]",0)^2)</f>
        <v>4.5953325233327789</v>
      </c>
      <c r="E56">
        <f ca="1">SQRT((INDIRECT("R[-1]C[-4]",0) - INDIRECT("RC[-4]",0))^2 + (INDIRECT("R[-1]C[-3]",0) - INDIRECT("RC[-3]",0))^2 + (INDIRECT("R[-1]C[-2]",0) - INDIRECT("RC[-2]",0))^2)</f>
        <v>6.5500779384676022</v>
      </c>
      <c r="F56">
        <f t="shared" ca="1" si="12"/>
        <v>4.2699999999999996</v>
      </c>
      <c r="G56">
        <f t="shared" ca="1" si="12"/>
        <v>4.1099999999999994</v>
      </c>
      <c r="H56">
        <f t="shared" ca="1" si="12"/>
        <v>2.7890000000000006</v>
      </c>
      <c r="I56">
        <f ca="1">SQRT((INDIRECT("R[-1]C[-8]",0) - INDIRECT("RC[-8]",0))^2 + (INDIRECT("R[-1]C[-7]",0) - INDIRECT("RC[-7]",0))^2)</f>
        <v>5.9266347955648486</v>
      </c>
      <c r="J56">
        <f ca="1">SQRT((INDIRECT("R[-1]C[-9]",0) - INDIRECT("RC[-9]",0))^2 + (INDIRECT("R[-1]C[-7]",0) - INDIRECT("RC[-7]",0))^2)</f>
        <v>5.1001393118227663</v>
      </c>
      <c r="K56">
        <f ca="1">SQRT((INDIRECT("R[-1]C[-9]",0) - INDIRECT("RC[-9]",0))^2 + (INDIRECT("R[-1]C[-8]",0) - INDIRECT("RC[-8]",0))^2)</f>
        <v>4.9669528888444265</v>
      </c>
    </row>
    <row r="57" spans="1:11" x14ac:dyDescent="0.25">
      <c r="D57" t="s">
        <v>4</v>
      </c>
      <c r="E57">
        <f t="shared" ref="E57:K57" ca="1" si="13">(INDIRECT("R[-1]C",0) + INDIRECT("R[-2]C",0) + INDIRECT("R[-3]C",0) + INDIRECT("R[-4]C",0))</f>
        <v>35.564484887633753</v>
      </c>
      <c r="F57">
        <f t="shared" ca="1" si="13"/>
        <v>23.45</v>
      </c>
      <c r="G57">
        <f t="shared" ca="1" si="13"/>
        <v>13.469999999999999</v>
      </c>
      <c r="H57">
        <f t="shared" ca="1" si="13"/>
        <v>20.509</v>
      </c>
      <c r="I57">
        <f t="shared" ca="1" si="13"/>
        <v>28.559345132744298</v>
      </c>
      <c r="J57">
        <f t="shared" ca="1" si="13"/>
        <v>31.938277413793536</v>
      </c>
      <c r="K57">
        <f t="shared" ca="1" si="13"/>
        <v>25.442733916865691</v>
      </c>
    </row>
    <row r="58" spans="1:11" x14ac:dyDescent="0.25">
      <c r="A58" t="s">
        <v>18</v>
      </c>
    </row>
    <row r="59" spans="1:11" x14ac:dyDescent="0.25">
      <c r="A59" s="1" t="s">
        <v>23</v>
      </c>
      <c r="B59" s="1" t="s">
        <v>25</v>
      </c>
      <c r="C59" s="1" t="s">
        <v>21</v>
      </c>
      <c r="D59" t="s">
        <v>10</v>
      </c>
      <c r="E59" t="s">
        <v>14</v>
      </c>
      <c r="F59" t="s">
        <v>13</v>
      </c>
      <c r="G59" t="s">
        <v>12</v>
      </c>
      <c r="H59" t="s">
        <v>11</v>
      </c>
      <c r="I59" t="s">
        <v>15</v>
      </c>
      <c r="J59" t="s">
        <v>16</v>
      </c>
      <c r="K59" t="s">
        <v>17</v>
      </c>
    </row>
    <row r="60" spans="1:11" x14ac:dyDescent="0.25">
      <c r="A60">
        <f>AxisValue(A59,4)</f>
        <v>7.8</v>
      </c>
      <c r="B60">
        <f>AxisValue(B59,4)</f>
        <v>-2.7</v>
      </c>
      <c r="C60">
        <f>AxisValue(C59,4)</f>
        <v>1.5</v>
      </c>
      <c r="D60">
        <f ca="1">SQRT(INDIRECT("RC[-3]",0)^2 + INDIRECT("RC[-2]",0)^2 + INDIRECT("RC[-1]",0)^2)</f>
        <v>8.3892788724657379</v>
      </c>
    </row>
    <row r="61" spans="1:11" x14ac:dyDescent="0.25">
      <c r="A61">
        <f>AxisValue(A59,5)</f>
        <v>-3.5</v>
      </c>
      <c r="B61">
        <f>AxisValue(B59,5)</f>
        <v>-1</v>
      </c>
      <c r="C61">
        <f>AxisValue(C59,5)</f>
        <v>9</v>
      </c>
      <c r="D61">
        <f ca="1">SQRT(INDIRECT("RC[-3]",0)^2 + INDIRECT("RC[-2]",0)^2 + INDIRECT("RC[-1]",0)^2)</f>
        <v>9.7082439194737997</v>
      </c>
      <c r="E61">
        <f ca="1">SQRT((INDIRECT("R[-1]C[-4]",0) - INDIRECT("RC[-4]",0))^2 + (INDIRECT("R[-1]C[-3]",0) - INDIRECT("RC[-3]",0))^2 + (INDIRECT("R[-1]C[-2]",0) - INDIRECT("RC[-2]",0))^2)</f>
        <v>13.668577102244404</v>
      </c>
      <c r="F61">
        <f t="shared" ref="F61:H64" ca="1" si="14">SQRT((INDIRECT("R[-1]C[-5]",0) - INDIRECT("RC[-5]",0))^2)</f>
        <v>11.3</v>
      </c>
      <c r="G61">
        <f t="shared" ca="1" si="14"/>
        <v>1.7000000000000002</v>
      </c>
      <c r="H61">
        <f t="shared" ca="1" si="14"/>
        <v>7.5</v>
      </c>
      <c r="I61">
        <f ca="1">SQRT((INDIRECT("R[-1]C[-8]",0) - INDIRECT("RC[-8]",0))^2 + (INDIRECT("R[-1]C[-7]",0) - INDIRECT("RC[-7]",0))^2)</f>
        <v>11.427160627207444</v>
      </c>
      <c r="J61">
        <f ca="1">SQRT((INDIRECT("R[-1]C[-9]",0) - INDIRECT("RC[-9]",0))^2 + (INDIRECT("R[-1]C[-7]",0) - INDIRECT("RC[-7]",0))^2)</f>
        <v>13.56244815658294</v>
      </c>
      <c r="K61">
        <f ca="1">SQRT((INDIRECT("R[-1]C[-9]",0) - INDIRECT("RC[-9]",0))^2 + (INDIRECT("R[-1]C[-8]",0) - INDIRECT("RC[-8]",0))^2)</f>
        <v>7.6902535718921516</v>
      </c>
    </row>
    <row r="62" spans="1:11" x14ac:dyDescent="0.25">
      <c r="A62">
        <f>AxisValue(A59,6)</f>
        <v>0.44</v>
      </c>
      <c r="B62">
        <f>AxisValue(B59,6)</f>
        <v>-3.33</v>
      </c>
      <c r="C62">
        <f>AxisValue(C59,6)</f>
        <v>6.33</v>
      </c>
      <c r="D62">
        <f ca="1">SQRT(INDIRECT("RC[-3]",0)^2 + INDIRECT("RC[-2]",0)^2 + INDIRECT("RC[-1]",0)^2)</f>
        <v>7.1659891152582693</v>
      </c>
      <c r="E62">
        <f ca="1">SQRT((INDIRECT("R[-1]C[-4]",0) - INDIRECT("RC[-4]",0))^2 + (INDIRECT("R[-1]C[-3]",0) - INDIRECT("RC[-3]",0))^2 + (INDIRECT("R[-1]C[-2]",0) - INDIRECT("RC[-2]",0))^2)</f>
        <v>5.2991886171375331</v>
      </c>
      <c r="F62">
        <f t="shared" ca="1" si="14"/>
        <v>3.94</v>
      </c>
      <c r="G62">
        <f t="shared" ca="1" si="14"/>
        <v>2.33</v>
      </c>
      <c r="H62">
        <f t="shared" ca="1" si="14"/>
        <v>2.67</v>
      </c>
      <c r="I62">
        <f ca="1">SQRT((INDIRECT("R[-1]C[-8]",0) - INDIRECT("RC[-8]",0))^2 + (INDIRECT("R[-1]C[-7]",0) - INDIRECT("RC[-7]",0))^2)</f>
        <v>4.5773900860643284</v>
      </c>
      <c r="J62">
        <f ca="1">SQRT((INDIRECT("R[-1]C[-9]",0) - INDIRECT("RC[-9]",0))^2 + (INDIRECT("R[-1]C[-7]",0) - INDIRECT("RC[-7]",0))^2)</f>
        <v>4.7594642555649056</v>
      </c>
      <c r="K62">
        <f ca="1">SQRT((INDIRECT("R[-1]C[-9]",0) - INDIRECT("RC[-9]",0))^2 + (INDIRECT("R[-1]C[-8]",0) - INDIRECT("RC[-8]",0))^2)</f>
        <v>3.5436986327846784</v>
      </c>
    </row>
    <row r="63" spans="1:11" x14ac:dyDescent="0.25">
      <c r="A63">
        <f>AxisValue(A59,7)</f>
        <v>-3.5</v>
      </c>
      <c r="B63">
        <f>AxisValue(B59,7)</f>
        <v>2</v>
      </c>
      <c r="C63">
        <f>AxisValue(C59,7)</f>
        <v>-1.22</v>
      </c>
      <c r="D63">
        <f ca="1">SQRT(INDIRECT("RC[-3]",0)^2 + INDIRECT("RC[-2]",0)^2 + INDIRECT("RC[-1]",0)^2)</f>
        <v>4.2116979948709519</v>
      </c>
      <c r="E63">
        <f ca="1">SQRT((INDIRECT("R[-1]C[-4]",0) - INDIRECT("RC[-4]",0))^2 + (INDIRECT("R[-1]C[-3]",0) - INDIRECT("RC[-3]",0))^2 + (INDIRECT("R[-1]C[-2]",0) - INDIRECT("RC[-2]",0))^2)</f>
        <v>10.04664122978421</v>
      </c>
      <c r="F63">
        <f t="shared" ca="1" si="14"/>
        <v>3.94</v>
      </c>
      <c r="G63">
        <f t="shared" ca="1" si="14"/>
        <v>5.33</v>
      </c>
      <c r="H63">
        <f t="shared" ca="1" si="14"/>
        <v>7.55</v>
      </c>
      <c r="I63">
        <f ca="1">SQRT((INDIRECT("R[-1]C[-8]",0) - INDIRECT("RC[-8]",0))^2 + (INDIRECT("R[-1]C[-7]",0) - INDIRECT("RC[-7]",0))^2)</f>
        <v>6.6281596239076803</v>
      </c>
      <c r="J63">
        <f ca="1">SQRT((INDIRECT("R[-1]C[-9]",0) - INDIRECT("RC[-9]",0))^2 + (INDIRECT("R[-1]C[-7]",0) - INDIRECT("RC[-7]",0))^2)</f>
        <v>8.516225689822928</v>
      </c>
      <c r="K63">
        <f ca="1">SQRT((INDIRECT("R[-1]C[-9]",0) - INDIRECT("RC[-9]",0))^2 + (INDIRECT("R[-1]C[-8]",0) - INDIRECT("RC[-8]",0))^2)</f>
        <v>9.2418288233444361</v>
      </c>
    </row>
    <row r="64" spans="1:11" x14ac:dyDescent="0.25">
      <c r="A64">
        <f>AxisValue(A59,8)</f>
        <v>0.77</v>
      </c>
      <c r="B64">
        <f>AxisValue(B59,8)</f>
        <v>-2.11</v>
      </c>
      <c r="C64">
        <f>AxisValue(C59,8)</f>
        <v>-4.0090000000000003</v>
      </c>
      <c r="D64">
        <f ca="1">SQRT(INDIRECT("RC[-3]",0)^2 + INDIRECT("RC[-2]",0)^2 + INDIRECT("RC[-1]",0)^2)</f>
        <v>4.5953325233327789</v>
      </c>
      <c r="E64">
        <f ca="1">SQRT((INDIRECT("R[-1]C[-4]",0) - INDIRECT("RC[-4]",0))^2 + (INDIRECT("R[-1]C[-3]",0) - INDIRECT("RC[-3]",0))^2 + (INDIRECT("R[-1]C[-2]",0) - INDIRECT("RC[-2]",0))^2)</f>
        <v>6.5500779384676022</v>
      </c>
      <c r="F64">
        <f t="shared" ca="1" si="14"/>
        <v>4.2699999999999996</v>
      </c>
      <c r="G64">
        <f t="shared" ca="1" si="14"/>
        <v>4.1099999999999994</v>
      </c>
      <c r="H64">
        <f t="shared" ca="1" si="14"/>
        <v>2.7890000000000006</v>
      </c>
      <c r="I64">
        <f ca="1">SQRT((INDIRECT("R[-1]C[-8]",0) - INDIRECT("RC[-8]",0))^2 + (INDIRECT("R[-1]C[-7]",0) - INDIRECT("RC[-7]",0))^2)</f>
        <v>5.9266347955648486</v>
      </c>
      <c r="J64">
        <f ca="1">SQRT((INDIRECT("R[-1]C[-9]",0) - INDIRECT("RC[-9]",0))^2 + (INDIRECT("R[-1]C[-7]",0) - INDIRECT("RC[-7]",0))^2)</f>
        <v>5.1001393118227663</v>
      </c>
      <c r="K64">
        <f ca="1">SQRT((INDIRECT("R[-1]C[-9]",0) - INDIRECT("RC[-9]",0))^2 + (INDIRECT("R[-1]C[-8]",0) - INDIRECT("RC[-8]",0))^2)</f>
        <v>4.9669528888444265</v>
      </c>
    </row>
    <row r="65" spans="1:11" x14ac:dyDescent="0.25">
      <c r="D65" t="s">
        <v>4</v>
      </c>
      <c r="E65">
        <f t="shared" ref="E65:K65" ca="1" si="15">(INDIRECT("R[-1]C",0) + INDIRECT("R[-2]C",0) + INDIRECT("R[-3]C",0) + INDIRECT("R[-4]C",0))</f>
        <v>35.564484887633753</v>
      </c>
      <c r="F65">
        <f t="shared" ca="1" si="15"/>
        <v>23.45</v>
      </c>
      <c r="G65">
        <f t="shared" ca="1" si="15"/>
        <v>13.469999999999999</v>
      </c>
      <c r="H65">
        <f t="shared" ca="1" si="15"/>
        <v>20.509</v>
      </c>
      <c r="I65">
        <f t="shared" ca="1" si="15"/>
        <v>28.559345132744298</v>
      </c>
      <c r="J65">
        <f t="shared" ca="1" si="15"/>
        <v>31.938277413793536</v>
      </c>
      <c r="K65">
        <f t="shared" ca="1" si="15"/>
        <v>25.442733916865691</v>
      </c>
    </row>
    <row r="66" spans="1:11" x14ac:dyDescent="0.25">
      <c r="A66" t="s">
        <v>18</v>
      </c>
    </row>
    <row r="67" spans="1:11" x14ac:dyDescent="0.25">
      <c r="A67" s="1" t="s">
        <v>23</v>
      </c>
      <c r="B67" s="1" t="s">
        <v>25</v>
      </c>
      <c r="C67" s="1" t="s">
        <v>26</v>
      </c>
      <c r="D67" t="s">
        <v>10</v>
      </c>
      <c r="E67" t="s">
        <v>14</v>
      </c>
      <c r="F67" t="s">
        <v>13</v>
      </c>
      <c r="G67" t="s">
        <v>12</v>
      </c>
      <c r="H67" t="s">
        <v>11</v>
      </c>
      <c r="I67" t="s">
        <v>15</v>
      </c>
      <c r="J67" t="s">
        <v>16</v>
      </c>
      <c r="K67" t="s">
        <v>17</v>
      </c>
    </row>
    <row r="68" spans="1:11" x14ac:dyDescent="0.25">
      <c r="A68">
        <f>AxisValue(A67,4)</f>
        <v>7.8</v>
      </c>
      <c r="B68">
        <f>AxisValue(B67,4)</f>
        <v>-2.7</v>
      </c>
      <c r="C68">
        <f>AxisValue(C67,4)</f>
        <v>-1.5</v>
      </c>
      <c r="D68">
        <f ca="1">SQRT(INDIRECT("RC[-3]",0)^2 + INDIRECT("RC[-2]",0)^2 + INDIRECT("RC[-1]",0)^2)</f>
        <v>8.3892788724657379</v>
      </c>
    </row>
    <row r="69" spans="1:11" x14ac:dyDescent="0.25">
      <c r="A69">
        <f>AxisValue(A67,5)</f>
        <v>-3.5</v>
      </c>
      <c r="B69">
        <f>AxisValue(B67,5)</f>
        <v>-1</v>
      </c>
      <c r="C69">
        <f>AxisValue(C67,5)</f>
        <v>-9</v>
      </c>
      <c r="D69">
        <f ca="1">SQRT(INDIRECT("RC[-3]",0)^2 + INDIRECT("RC[-2]",0)^2 + INDIRECT("RC[-1]",0)^2)</f>
        <v>9.7082439194737997</v>
      </c>
      <c r="E69">
        <f ca="1">SQRT((INDIRECT("R[-1]C[-4]",0) - INDIRECT("RC[-4]",0))^2 + (INDIRECT("R[-1]C[-3]",0) - INDIRECT("RC[-3]",0))^2 + (INDIRECT("R[-1]C[-2]",0) - INDIRECT("RC[-2]",0))^2)</f>
        <v>13.668577102244404</v>
      </c>
      <c r="F69">
        <f t="shared" ref="F69:H72" ca="1" si="16">SQRT((INDIRECT("R[-1]C[-5]",0) - INDIRECT("RC[-5]",0))^2)</f>
        <v>11.3</v>
      </c>
      <c r="G69">
        <f t="shared" ca="1" si="16"/>
        <v>1.7000000000000002</v>
      </c>
      <c r="H69">
        <f t="shared" ca="1" si="16"/>
        <v>7.5</v>
      </c>
      <c r="I69">
        <f ca="1">SQRT((INDIRECT("R[-1]C[-8]",0) - INDIRECT("RC[-8]",0))^2 + (INDIRECT("R[-1]C[-7]",0) - INDIRECT("RC[-7]",0))^2)</f>
        <v>11.427160627207444</v>
      </c>
      <c r="J69">
        <f ca="1">SQRT((INDIRECT("R[-1]C[-9]",0) - INDIRECT("RC[-9]",0))^2 + (INDIRECT("R[-1]C[-7]",0) - INDIRECT("RC[-7]",0))^2)</f>
        <v>13.56244815658294</v>
      </c>
      <c r="K69">
        <f ca="1">SQRT((INDIRECT("R[-1]C[-9]",0) - INDIRECT("RC[-9]",0))^2 + (INDIRECT("R[-1]C[-8]",0) - INDIRECT("RC[-8]",0))^2)</f>
        <v>7.6902535718921516</v>
      </c>
    </row>
    <row r="70" spans="1:11" x14ac:dyDescent="0.25">
      <c r="A70">
        <f>AxisValue(A67,6)</f>
        <v>0.44</v>
      </c>
      <c r="B70">
        <f>AxisValue(B67,6)</f>
        <v>-3.33</v>
      </c>
      <c r="C70">
        <f>AxisValue(C67,6)</f>
        <v>-6.33</v>
      </c>
      <c r="D70">
        <f ca="1">SQRT(INDIRECT("RC[-3]",0)^2 + INDIRECT("RC[-2]",0)^2 + INDIRECT("RC[-1]",0)^2)</f>
        <v>7.1659891152582693</v>
      </c>
      <c r="E70">
        <f ca="1">SQRT((INDIRECT("R[-1]C[-4]",0) - INDIRECT("RC[-4]",0))^2 + (INDIRECT("R[-1]C[-3]",0) - INDIRECT("RC[-3]",0))^2 + (INDIRECT("R[-1]C[-2]",0) - INDIRECT("RC[-2]",0))^2)</f>
        <v>5.2991886171375331</v>
      </c>
      <c r="F70">
        <f t="shared" ca="1" si="16"/>
        <v>3.94</v>
      </c>
      <c r="G70">
        <f t="shared" ca="1" si="16"/>
        <v>2.33</v>
      </c>
      <c r="H70">
        <f t="shared" ca="1" si="16"/>
        <v>2.67</v>
      </c>
      <c r="I70">
        <f ca="1">SQRT((INDIRECT("R[-1]C[-8]",0) - INDIRECT("RC[-8]",0))^2 + (INDIRECT("R[-1]C[-7]",0) - INDIRECT("RC[-7]",0))^2)</f>
        <v>4.5773900860643284</v>
      </c>
      <c r="J70">
        <f ca="1">SQRT((INDIRECT("R[-1]C[-9]",0) - INDIRECT("RC[-9]",0))^2 + (INDIRECT("R[-1]C[-7]",0) - INDIRECT("RC[-7]",0))^2)</f>
        <v>4.7594642555649056</v>
      </c>
      <c r="K70">
        <f ca="1">SQRT((INDIRECT("R[-1]C[-9]",0) - INDIRECT("RC[-9]",0))^2 + (INDIRECT("R[-1]C[-8]",0) - INDIRECT("RC[-8]",0))^2)</f>
        <v>3.5436986327846784</v>
      </c>
    </row>
    <row r="71" spans="1:11" x14ac:dyDescent="0.25">
      <c r="A71">
        <f>AxisValue(A67,7)</f>
        <v>-3.5</v>
      </c>
      <c r="B71">
        <f>AxisValue(B67,7)</f>
        <v>2</v>
      </c>
      <c r="C71">
        <f>AxisValue(C67,7)</f>
        <v>1.22</v>
      </c>
      <c r="D71">
        <f ca="1">SQRT(INDIRECT("RC[-3]",0)^2 + INDIRECT("RC[-2]",0)^2 + INDIRECT("RC[-1]",0)^2)</f>
        <v>4.2116979948709519</v>
      </c>
      <c r="E71">
        <f ca="1">SQRT((INDIRECT("R[-1]C[-4]",0) - INDIRECT("RC[-4]",0))^2 + (INDIRECT("R[-1]C[-3]",0) - INDIRECT("RC[-3]",0))^2 + (INDIRECT("R[-1]C[-2]",0) - INDIRECT("RC[-2]",0))^2)</f>
        <v>10.04664122978421</v>
      </c>
      <c r="F71">
        <f t="shared" ca="1" si="16"/>
        <v>3.94</v>
      </c>
      <c r="G71">
        <f t="shared" ca="1" si="16"/>
        <v>5.33</v>
      </c>
      <c r="H71">
        <f t="shared" ca="1" si="16"/>
        <v>7.55</v>
      </c>
      <c r="I71">
        <f ca="1">SQRT((INDIRECT("R[-1]C[-8]",0) - INDIRECT("RC[-8]",0))^2 + (INDIRECT("R[-1]C[-7]",0) - INDIRECT("RC[-7]",0))^2)</f>
        <v>6.6281596239076803</v>
      </c>
      <c r="J71">
        <f ca="1">SQRT((INDIRECT("R[-1]C[-9]",0) - INDIRECT("RC[-9]",0))^2 + (INDIRECT("R[-1]C[-7]",0) - INDIRECT("RC[-7]",0))^2)</f>
        <v>8.516225689822928</v>
      </c>
      <c r="K71">
        <f ca="1">SQRT((INDIRECT("R[-1]C[-9]",0) - INDIRECT("RC[-9]",0))^2 + (INDIRECT("R[-1]C[-8]",0) - INDIRECT("RC[-8]",0))^2)</f>
        <v>9.2418288233444361</v>
      </c>
    </row>
    <row r="72" spans="1:11" x14ac:dyDescent="0.25">
      <c r="A72">
        <f>AxisValue(A67,8)</f>
        <v>0.77</v>
      </c>
      <c r="B72">
        <f>AxisValue(B67,8)</f>
        <v>-2.11</v>
      </c>
      <c r="C72">
        <f>AxisValue(C67,8)</f>
        <v>4.0090000000000003</v>
      </c>
      <c r="D72">
        <f ca="1">SQRT(INDIRECT("RC[-3]",0)^2 + INDIRECT("RC[-2]",0)^2 + INDIRECT("RC[-1]",0)^2)</f>
        <v>4.5953325233327789</v>
      </c>
      <c r="E72">
        <f ca="1">SQRT((INDIRECT("R[-1]C[-4]",0) - INDIRECT("RC[-4]",0))^2 + (INDIRECT("R[-1]C[-3]",0) - INDIRECT("RC[-3]",0))^2 + (INDIRECT("R[-1]C[-2]",0) - INDIRECT("RC[-2]",0))^2)</f>
        <v>6.5500779384676022</v>
      </c>
      <c r="F72">
        <f t="shared" ca="1" si="16"/>
        <v>4.2699999999999996</v>
      </c>
      <c r="G72">
        <f t="shared" ca="1" si="16"/>
        <v>4.1099999999999994</v>
      </c>
      <c r="H72">
        <f t="shared" ca="1" si="16"/>
        <v>2.7890000000000006</v>
      </c>
      <c r="I72">
        <f ca="1">SQRT((INDIRECT("R[-1]C[-8]",0) - INDIRECT("RC[-8]",0))^2 + (INDIRECT("R[-1]C[-7]",0) - INDIRECT("RC[-7]",0))^2)</f>
        <v>5.9266347955648486</v>
      </c>
      <c r="J72">
        <f ca="1">SQRT((INDIRECT("R[-1]C[-9]",0) - INDIRECT("RC[-9]",0))^2 + (INDIRECT("R[-1]C[-7]",0) - INDIRECT("RC[-7]",0))^2)</f>
        <v>5.1001393118227663</v>
      </c>
      <c r="K72">
        <f ca="1">SQRT((INDIRECT("R[-1]C[-9]",0) - INDIRECT("RC[-9]",0))^2 + (INDIRECT("R[-1]C[-8]",0) - INDIRECT("RC[-8]",0))^2)</f>
        <v>4.9669528888444265</v>
      </c>
    </row>
    <row r="73" spans="1:11" x14ac:dyDescent="0.25">
      <c r="D73" t="s">
        <v>4</v>
      </c>
      <c r="E73">
        <f t="shared" ref="E73:K73" ca="1" si="17">(INDIRECT("R[-1]C",0) + INDIRECT("R[-2]C",0) + INDIRECT("R[-3]C",0) + INDIRECT("R[-4]C",0))</f>
        <v>35.564484887633753</v>
      </c>
      <c r="F73">
        <f t="shared" ca="1" si="17"/>
        <v>23.45</v>
      </c>
      <c r="G73">
        <f t="shared" ca="1" si="17"/>
        <v>13.469999999999999</v>
      </c>
      <c r="H73">
        <f t="shared" ca="1" si="17"/>
        <v>20.509</v>
      </c>
      <c r="I73">
        <f t="shared" ca="1" si="17"/>
        <v>28.559345132744298</v>
      </c>
      <c r="J73">
        <f t="shared" ca="1" si="17"/>
        <v>31.938277413793536</v>
      </c>
      <c r="K73">
        <f t="shared" ca="1" si="17"/>
        <v>25.442733916865691</v>
      </c>
    </row>
    <row r="74" spans="1:11" x14ac:dyDescent="0.25">
      <c r="A74" t="s">
        <v>18</v>
      </c>
    </row>
    <row r="75" spans="1:11" x14ac:dyDescent="0.25">
      <c r="A75" s="1" t="s">
        <v>24</v>
      </c>
      <c r="B75" s="1" t="s">
        <v>22</v>
      </c>
      <c r="C75" s="1" t="s">
        <v>21</v>
      </c>
      <c r="D75" t="s">
        <v>10</v>
      </c>
      <c r="E75" t="s">
        <v>14</v>
      </c>
      <c r="F75" t="s">
        <v>13</v>
      </c>
      <c r="G75" t="s">
        <v>12</v>
      </c>
      <c r="H75" t="s">
        <v>11</v>
      </c>
      <c r="I75" t="s">
        <v>15</v>
      </c>
      <c r="J75" t="s">
        <v>16</v>
      </c>
      <c r="K75" t="s">
        <v>17</v>
      </c>
    </row>
    <row r="76" spans="1:11" x14ac:dyDescent="0.25">
      <c r="A76">
        <f>AxisValue(A75,4)</f>
        <v>-7.8</v>
      </c>
      <c r="B76">
        <f>AxisValue(B75,4)</f>
        <v>2.7</v>
      </c>
      <c r="C76">
        <f>AxisValue(C75,4)</f>
        <v>1.5</v>
      </c>
      <c r="D76">
        <f ca="1">SQRT(INDIRECT("RC[-3]",0)^2 + INDIRECT("RC[-2]",0)^2 + INDIRECT("RC[-1]",0)^2)</f>
        <v>8.3892788724657379</v>
      </c>
    </row>
    <row r="77" spans="1:11" x14ac:dyDescent="0.25">
      <c r="A77">
        <f>AxisValue(A75,5)</f>
        <v>3.5</v>
      </c>
      <c r="B77">
        <f>AxisValue(B75,5)</f>
        <v>1</v>
      </c>
      <c r="C77">
        <f>AxisValue(C75,5)</f>
        <v>9</v>
      </c>
      <c r="D77">
        <f ca="1">SQRT(INDIRECT("RC[-3]",0)^2 + INDIRECT("RC[-2]",0)^2 + INDIRECT("RC[-1]",0)^2)</f>
        <v>9.7082439194737997</v>
      </c>
      <c r="E77">
        <f ca="1">SQRT((INDIRECT("R[-1]C[-4]",0) - INDIRECT("RC[-4]",0))^2 + (INDIRECT("R[-1]C[-3]",0) - INDIRECT("RC[-3]",0))^2 + (INDIRECT("R[-1]C[-2]",0) - INDIRECT("RC[-2]",0))^2)</f>
        <v>13.668577102244404</v>
      </c>
      <c r="F77">
        <f t="shared" ref="F77:H80" ca="1" si="18">SQRT((INDIRECT("R[-1]C[-5]",0) - INDIRECT("RC[-5]",0))^2)</f>
        <v>11.3</v>
      </c>
      <c r="G77">
        <f t="shared" ca="1" si="18"/>
        <v>1.7000000000000002</v>
      </c>
      <c r="H77">
        <f t="shared" ca="1" si="18"/>
        <v>7.5</v>
      </c>
      <c r="I77">
        <f ca="1">SQRT((INDIRECT("R[-1]C[-8]",0) - INDIRECT("RC[-8]",0))^2 + (INDIRECT("R[-1]C[-7]",0) - INDIRECT("RC[-7]",0))^2)</f>
        <v>11.427160627207444</v>
      </c>
      <c r="J77">
        <f ca="1">SQRT((INDIRECT("R[-1]C[-9]",0) - INDIRECT("RC[-9]",0))^2 + (INDIRECT("R[-1]C[-7]",0) - INDIRECT("RC[-7]",0))^2)</f>
        <v>13.56244815658294</v>
      </c>
      <c r="K77">
        <f ca="1">SQRT((INDIRECT("R[-1]C[-9]",0) - INDIRECT("RC[-9]",0))^2 + (INDIRECT("R[-1]C[-8]",0) - INDIRECT("RC[-8]",0))^2)</f>
        <v>7.6902535718921516</v>
      </c>
    </row>
    <row r="78" spans="1:11" x14ac:dyDescent="0.25">
      <c r="A78">
        <f>AxisValue(A75,6)</f>
        <v>-0.44</v>
      </c>
      <c r="B78">
        <f>AxisValue(B75,6)</f>
        <v>3.33</v>
      </c>
      <c r="C78">
        <f>AxisValue(C75,6)</f>
        <v>6.33</v>
      </c>
      <c r="D78">
        <f ca="1">SQRT(INDIRECT("RC[-3]",0)^2 + INDIRECT("RC[-2]",0)^2 + INDIRECT("RC[-1]",0)^2)</f>
        <v>7.1659891152582693</v>
      </c>
      <c r="E78">
        <f ca="1">SQRT((INDIRECT("R[-1]C[-4]",0) - INDIRECT("RC[-4]",0))^2 + (INDIRECT("R[-1]C[-3]",0) - INDIRECT("RC[-3]",0))^2 + (INDIRECT("R[-1]C[-2]",0) - INDIRECT("RC[-2]",0))^2)</f>
        <v>5.2991886171375331</v>
      </c>
      <c r="F78">
        <f t="shared" ca="1" si="18"/>
        <v>3.94</v>
      </c>
      <c r="G78">
        <f t="shared" ca="1" si="18"/>
        <v>2.33</v>
      </c>
      <c r="H78">
        <f t="shared" ca="1" si="18"/>
        <v>2.67</v>
      </c>
      <c r="I78">
        <f ca="1">SQRT((INDIRECT("R[-1]C[-8]",0) - INDIRECT("RC[-8]",0))^2 + (INDIRECT("R[-1]C[-7]",0) - INDIRECT("RC[-7]",0))^2)</f>
        <v>4.5773900860643284</v>
      </c>
      <c r="J78">
        <f ca="1">SQRT((INDIRECT("R[-1]C[-9]",0) - INDIRECT("RC[-9]",0))^2 + (INDIRECT("R[-1]C[-7]",0) - INDIRECT("RC[-7]",0))^2)</f>
        <v>4.7594642555649056</v>
      </c>
      <c r="K78">
        <f ca="1">SQRT((INDIRECT("R[-1]C[-9]",0) - INDIRECT("RC[-9]",0))^2 + (INDIRECT("R[-1]C[-8]",0) - INDIRECT("RC[-8]",0))^2)</f>
        <v>3.5436986327846784</v>
      </c>
    </row>
    <row r="79" spans="1:11" x14ac:dyDescent="0.25">
      <c r="A79">
        <f>AxisValue(A75,7)</f>
        <v>3.5</v>
      </c>
      <c r="B79">
        <f>AxisValue(B75,7)</f>
        <v>-2</v>
      </c>
      <c r="C79">
        <f>AxisValue(C75,7)</f>
        <v>-1.22</v>
      </c>
      <c r="D79">
        <f ca="1">SQRT(INDIRECT("RC[-3]",0)^2 + INDIRECT("RC[-2]",0)^2 + INDIRECT("RC[-1]",0)^2)</f>
        <v>4.2116979948709519</v>
      </c>
      <c r="E79">
        <f ca="1">SQRT((INDIRECT("R[-1]C[-4]",0) - INDIRECT("RC[-4]",0))^2 + (INDIRECT("R[-1]C[-3]",0) - INDIRECT("RC[-3]",0))^2 + (INDIRECT("R[-1]C[-2]",0) - INDIRECT("RC[-2]",0))^2)</f>
        <v>10.04664122978421</v>
      </c>
      <c r="F79">
        <f t="shared" ca="1" si="18"/>
        <v>3.94</v>
      </c>
      <c r="G79">
        <f t="shared" ca="1" si="18"/>
        <v>5.33</v>
      </c>
      <c r="H79">
        <f t="shared" ca="1" si="18"/>
        <v>7.55</v>
      </c>
      <c r="I79">
        <f ca="1">SQRT((INDIRECT("R[-1]C[-8]",0) - INDIRECT("RC[-8]",0))^2 + (INDIRECT("R[-1]C[-7]",0) - INDIRECT("RC[-7]",0))^2)</f>
        <v>6.6281596239076803</v>
      </c>
      <c r="J79">
        <f ca="1">SQRT((INDIRECT("R[-1]C[-9]",0) - INDIRECT("RC[-9]",0))^2 + (INDIRECT("R[-1]C[-7]",0) - INDIRECT("RC[-7]",0))^2)</f>
        <v>8.516225689822928</v>
      </c>
      <c r="K79">
        <f ca="1">SQRT((INDIRECT("R[-1]C[-9]",0) - INDIRECT("RC[-9]",0))^2 + (INDIRECT("R[-1]C[-8]",0) - INDIRECT("RC[-8]",0))^2)</f>
        <v>9.2418288233444361</v>
      </c>
    </row>
    <row r="80" spans="1:11" x14ac:dyDescent="0.25">
      <c r="A80">
        <f>AxisValue(A75,8)</f>
        <v>-0.77</v>
      </c>
      <c r="B80">
        <f>AxisValue(B75,8)</f>
        <v>2.11</v>
      </c>
      <c r="C80">
        <f>AxisValue(C75,8)</f>
        <v>-4.0090000000000003</v>
      </c>
      <c r="D80">
        <f ca="1">SQRT(INDIRECT("RC[-3]",0)^2 + INDIRECT("RC[-2]",0)^2 + INDIRECT("RC[-1]",0)^2)</f>
        <v>4.5953325233327789</v>
      </c>
      <c r="E80">
        <f ca="1">SQRT((INDIRECT("R[-1]C[-4]",0) - INDIRECT("RC[-4]",0))^2 + (INDIRECT("R[-1]C[-3]",0) - INDIRECT("RC[-3]",0))^2 + (INDIRECT("R[-1]C[-2]",0) - INDIRECT("RC[-2]",0))^2)</f>
        <v>6.5500779384676022</v>
      </c>
      <c r="F80">
        <f t="shared" ca="1" si="18"/>
        <v>4.2699999999999996</v>
      </c>
      <c r="G80">
        <f t="shared" ca="1" si="18"/>
        <v>4.1099999999999994</v>
      </c>
      <c r="H80">
        <f t="shared" ca="1" si="18"/>
        <v>2.7890000000000006</v>
      </c>
      <c r="I80">
        <f ca="1">SQRT((INDIRECT("R[-1]C[-8]",0) - INDIRECT("RC[-8]",0))^2 + (INDIRECT("R[-1]C[-7]",0) - INDIRECT("RC[-7]",0))^2)</f>
        <v>5.9266347955648486</v>
      </c>
      <c r="J80">
        <f ca="1">SQRT((INDIRECT("R[-1]C[-9]",0) - INDIRECT("RC[-9]",0))^2 + (INDIRECT("R[-1]C[-7]",0) - INDIRECT("RC[-7]",0))^2)</f>
        <v>5.1001393118227663</v>
      </c>
      <c r="K80">
        <f ca="1">SQRT((INDIRECT("R[-1]C[-9]",0) - INDIRECT("RC[-9]",0))^2 + (INDIRECT("R[-1]C[-8]",0) - INDIRECT("RC[-8]",0))^2)</f>
        <v>4.9669528888444265</v>
      </c>
    </row>
    <row r="81" spans="1:11" x14ac:dyDescent="0.25">
      <c r="D81" t="s">
        <v>4</v>
      </c>
      <c r="E81">
        <f t="shared" ref="E81:K81" ca="1" si="19">(INDIRECT("R[-1]C",0) + INDIRECT("R[-2]C",0) + INDIRECT("R[-3]C",0) + INDIRECT("R[-4]C",0))</f>
        <v>35.564484887633753</v>
      </c>
      <c r="F81">
        <f t="shared" ca="1" si="19"/>
        <v>23.45</v>
      </c>
      <c r="G81">
        <f t="shared" ca="1" si="19"/>
        <v>13.469999999999999</v>
      </c>
      <c r="H81">
        <f t="shared" ca="1" si="19"/>
        <v>20.509</v>
      </c>
      <c r="I81">
        <f t="shared" ca="1" si="19"/>
        <v>28.559345132744298</v>
      </c>
      <c r="J81">
        <f t="shared" ca="1" si="19"/>
        <v>31.938277413793536</v>
      </c>
      <c r="K81">
        <f t="shared" ca="1" si="19"/>
        <v>25.442733916865691</v>
      </c>
    </row>
    <row r="82" spans="1:11" x14ac:dyDescent="0.25">
      <c r="A82" t="s">
        <v>18</v>
      </c>
    </row>
    <row r="83" spans="1:11" x14ac:dyDescent="0.25">
      <c r="A83" s="1" t="s">
        <v>24</v>
      </c>
      <c r="B83" s="1" t="s">
        <v>22</v>
      </c>
      <c r="C83" s="1" t="s">
        <v>26</v>
      </c>
      <c r="D83" t="s">
        <v>10</v>
      </c>
      <c r="E83" t="s">
        <v>14</v>
      </c>
      <c r="F83" t="s">
        <v>13</v>
      </c>
      <c r="G83" t="s">
        <v>12</v>
      </c>
      <c r="H83" t="s">
        <v>11</v>
      </c>
      <c r="I83" t="s">
        <v>15</v>
      </c>
      <c r="J83" t="s">
        <v>16</v>
      </c>
      <c r="K83" t="s">
        <v>17</v>
      </c>
    </row>
    <row r="84" spans="1:11" x14ac:dyDescent="0.25">
      <c r="A84">
        <f>AxisValue(A83,4)</f>
        <v>-7.8</v>
      </c>
      <c r="B84">
        <f>AxisValue(B83,4)</f>
        <v>2.7</v>
      </c>
      <c r="C84">
        <f>AxisValue(C83,4)</f>
        <v>-1.5</v>
      </c>
      <c r="D84">
        <f ca="1">SQRT(INDIRECT("RC[-3]",0)^2 + INDIRECT("RC[-2]",0)^2 + INDIRECT("RC[-1]",0)^2)</f>
        <v>8.3892788724657379</v>
      </c>
    </row>
    <row r="85" spans="1:11" x14ac:dyDescent="0.25">
      <c r="A85">
        <f>AxisValue(A83,5)</f>
        <v>3.5</v>
      </c>
      <c r="B85">
        <f>AxisValue(B83,5)</f>
        <v>1</v>
      </c>
      <c r="C85">
        <f>AxisValue(C83,5)</f>
        <v>-9</v>
      </c>
      <c r="D85">
        <f ca="1">SQRT(INDIRECT("RC[-3]",0)^2 + INDIRECT("RC[-2]",0)^2 + INDIRECT("RC[-1]",0)^2)</f>
        <v>9.7082439194737997</v>
      </c>
      <c r="E85">
        <f ca="1">SQRT((INDIRECT("R[-1]C[-4]",0) - INDIRECT("RC[-4]",0))^2 + (INDIRECT("R[-1]C[-3]",0) - INDIRECT("RC[-3]",0))^2 + (INDIRECT("R[-1]C[-2]",0) - INDIRECT("RC[-2]",0))^2)</f>
        <v>13.668577102244404</v>
      </c>
      <c r="F85">
        <f t="shared" ref="F85:H88" ca="1" si="20">SQRT((INDIRECT("R[-1]C[-5]",0) - INDIRECT("RC[-5]",0))^2)</f>
        <v>11.3</v>
      </c>
      <c r="G85">
        <f t="shared" ca="1" si="20"/>
        <v>1.7000000000000002</v>
      </c>
      <c r="H85">
        <f t="shared" ca="1" si="20"/>
        <v>7.5</v>
      </c>
      <c r="I85">
        <f ca="1">SQRT((INDIRECT("R[-1]C[-8]",0) - INDIRECT("RC[-8]",0))^2 + (INDIRECT("R[-1]C[-7]",0) - INDIRECT("RC[-7]",0))^2)</f>
        <v>11.427160627207444</v>
      </c>
      <c r="J85">
        <f ca="1">SQRT((INDIRECT("R[-1]C[-9]",0) - INDIRECT("RC[-9]",0))^2 + (INDIRECT("R[-1]C[-7]",0) - INDIRECT("RC[-7]",0))^2)</f>
        <v>13.56244815658294</v>
      </c>
      <c r="K85">
        <f ca="1">SQRT((INDIRECT("R[-1]C[-9]",0) - INDIRECT("RC[-9]",0))^2 + (INDIRECT("R[-1]C[-8]",0) - INDIRECT("RC[-8]",0))^2)</f>
        <v>7.6902535718921516</v>
      </c>
    </row>
    <row r="86" spans="1:11" x14ac:dyDescent="0.25">
      <c r="A86">
        <f>AxisValue(A83,6)</f>
        <v>-0.44</v>
      </c>
      <c r="B86">
        <f>AxisValue(B83,6)</f>
        <v>3.33</v>
      </c>
      <c r="C86">
        <f>AxisValue(C83,6)</f>
        <v>-6.33</v>
      </c>
      <c r="D86">
        <f ca="1">SQRT(INDIRECT("RC[-3]",0)^2 + INDIRECT("RC[-2]",0)^2 + INDIRECT("RC[-1]",0)^2)</f>
        <v>7.1659891152582693</v>
      </c>
      <c r="E86">
        <f ca="1">SQRT((INDIRECT("R[-1]C[-4]",0) - INDIRECT("RC[-4]",0))^2 + (INDIRECT("R[-1]C[-3]",0) - INDIRECT("RC[-3]",0))^2 + (INDIRECT("R[-1]C[-2]",0) - INDIRECT("RC[-2]",0))^2)</f>
        <v>5.2991886171375331</v>
      </c>
      <c r="F86">
        <f t="shared" ca="1" si="20"/>
        <v>3.94</v>
      </c>
      <c r="G86">
        <f t="shared" ca="1" si="20"/>
        <v>2.33</v>
      </c>
      <c r="H86">
        <f t="shared" ca="1" si="20"/>
        <v>2.67</v>
      </c>
      <c r="I86">
        <f ca="1">SQRT((INDIRECT("R[-1]C[-8]",0) - INDIRECT("RC[-8]",0))^2 + (INDIRECT("R[-1]C[-7]",0) - INDIRECT("RC[-7]",0))^2)</f>
        <v>4.5773900860643284</v>
      </c>
      <c r="J86">
        <f ca="1">SQRT((INDIRECT("R[-1]C[-9]",0) - INDIRECT("RC[-9]",0))^2 + (INDIRECT("R[-1]C[-7]",0) - INDIRECT("RC[-7]",0))^2)</f>
        <v>4.7594642555649056</v>
      </c>
      <c r="K86">
        <f ca="1">SQRT((INDIRECT("R[-1]C[-9]",0) - INDIRECT("RC[-9]",0))^2 + (INDIRECT("R[-1]C[-8]",0) - INDIRECT("RC[-8]",0))^2)</f>
        <v>3.5436986327846784</v>
      </c>
    </row>
    <row r="87" spans="1:11" x14ac:dyDescent="0.25">
      <c r="A87">
        <f>AxisValue(A83,7)</f>
        <v>3.5</v>
      </c>
      <c r="B87">
        <f>AxisValue(B83,7)</f>
        <v>-2</v>
      </c>
      <c r="C87">
        <f>AxisValue(C83,7)</f>
        <v>1.22</v>
      </c>
      <c r="D87">
        <f ca="1">SQRT(INDIRECT("RC[-3]",0)^2 + INDIRECT("RC[-2]",0)^2 + INDIRECT("RC[-1]",0)^2)</f>
        <v>4.2116979948709519</v>
      </c>
      <c r="E87">
        <f ca="1">SQRT((INDIRECT("R[-1]C[-4]",0) - INDIRECT("RC[-4]",0))^2 + (INDIRECT("R[-1]C[-3]",0) - INDIRECT("RC[-3]",0))^2 + (INDIRECT("R[-1]C[-2]",0) - INDIRECT("RC[-2]",0))^2)</f>
        <v>10.04664122978421</v>
      </c>
      <c r="F87">
        <f t="shared" ca="1" si="20"/>
        <v>3.94</v>
      </c>
      <c r="G87">
        <f t="shared" ca="1" si="20"/>
        <v>5.33</v>
      </c>
      <c r="H87">
        <f t="shared" ca="1" si="20"/>
        <v>7.55</v>
      </c>
      <c r="I87">
        <f ca="1">SQRT((INDIRECT("R[-1]C[-8]",0) - INDIRECT("RC[-8]",0))^2 + (INDIRECT("R[-1]C[-7]",0) - INDIRECT("RC[-7]",0))^2)</f>
        <v>6.6281596239076803</v>
      </c>
      <c r="J87">
        <f ca="1">SQRT((INDIRECT("R[-1]C[-9]",0) - INDIRECT("RC[-9]",0))^2 + (INDIRECT("R[-1]C[-7]",0) - INDIRECT("RC[-7]",0))^2)</f>
        <v>8.516225689822928</v>
      </c>
      <c r="K87">
        <f ca="1">SQRT((INDIRECT("R[-1]C[-9]",0) - INDIRECT("RC[-9]",0))^2 + (INDIRECT("R[-1]C[-8]",0) - INDIRECT("RC[-8]",0))^2)</f>
        <v>9.2418288233444361</v>
      </c>
    </row>
    <row r="88" spans="1:11" x14ac:dyDescent="0.25">
      <c r="A88">
        <f>AxisValue(A83,8)</f>
        <v>-0.77</v>
      </c>
      <c r="B88">
        <f>AxisValue(B83,8)</f>
        <v>2.11</v>
      </c>
      <c r="C88">
        <f>AxisValue(C83,8)</f>
        <v>4.0090000000000003</v>
      </c>
      <c r="D88">
        <f ca="1">SQRT(INDIRECT("RC[-3]",0)^2 + INDIRECT("RC[-2]",0)^2 + INDIRECT("RC[-1]",0)^2)</f>
        <v>4.5953325233327789</v>
      </c>
      <c r="E88">
        <f ca="1">SQRT((INDIRECT("R[-1]C[-4]",0) - INDIRECT("RC[-4]",0))^2 + (INDIRECT("R[-1]C[-3]",0) - INDIRECT("RC[-3]",0))^2 + (INDIRECT("R[-1]C[-2]",0) - INDIRECT("RC[-2]",0))^2)</f>
        <v>6.5500779384676022</v>
      </c>
      <c r="F88">
        <f t="shared" ca="1" si="20"/>
        <v>4.2699999999999996</v>
      </c>
      <c r="G88">
        <f t="shared" ca="1" si="20"/>
        <v>4.1099999999999994</v>
      </c>
      <c r="H88">
        <f t="shared" ca="1" si="20"/>
        <v>2.7890000000000006</v>
      </c>
      <c r="I88">
        <f ca="1">SQRT((INDIRECT("R[-1]C[-8]",0) - INDIRECT("RC[-8]",0))^2 + (INDIRECT("R[-1]C[-7]",0) - INDIRECT("RC[-7]",0))^2)</f>
        <v>5.9266347955648486</v>
      </c>
      <c r="J88">
        <f ca="1">SQRT((INDIRECT("R[-1]C[-9]",0) - INDIRECT("RC[-9]",0))^2 + (INDIRECT("R[-1]C[-7]",0) - INDIRECT("RC[-7]",0))^2)</f>
        <v>5.1001393118227663</v>
      </c>
      <c r="K88">
        <f ca="1">SQRT((INDIRECT("R[-1]C[-9]",0) - INDIRECT("RC[-9]",0))^2 + (INDIRECT("R[-1]C[-8]",0) - INDIRECT("RC[-8]",0))^2)</f>
        <v>4.9669528888444265</v>
      </c>
    </row>
    <row r="89" spans="1:11" x14ac:dyDescent="0.25">
      <c r="D89" t="s">
        <v>4</v>
      </c>
      <c r="E89">
        <f t="shared" ref="E89:K89" ca="1" si="21">(INDIRECT("R[-1]C",0) + INDIRECT("R[-2]C",0) + INDIRECT("R[-3]C",0) + INDIRECT("R[-4]C",0))</f>
        <v>35.564484887633753</v>
      </c>
      <c r="F89">
        <f t="shared" ca="1" si="21"/>
        <v>23.45</v>
      </c>
      <c r="G89">
        <f t="shared" ca="1" si="21"/>
        <v>13.469999999999999</v>
      </c>
      <c r="H89">
        <f t="shared" ca="1" si="21"/>
        <v>20.509</v>
      </c>
      <c r="I89">
        <f t="shared" ca="1" si="21"/>
        <v>28.559345132744298</v>
      </c>
      <c r="J89">
        <f t="shared" ca="1" si="21"/>
        <v>31.938277413793536</v>
      </c>
      <c r="K89">
        <f t="shared" ca="1" si="21"/>
        <v>25.442733916865691</v>
      </c>
    </row>
    <row r="90" spans="1:11" x14ac:dyDescent="0.25">
      <c r="A90" t="s">
        <v>18</v>
      </c>
    </row>
    <row r="91" spans="1:11" x14ac:dyDescent="0.25">
      <c r="A91" s="1" t="s">
        <v>24</v>
      </c>
      <c r="B91" s="1" t="s">
        <v>25</v>
      </c>
      <c r="C91" s="1" t="s">
        <v>21</v>
      </c>
      <c r="D91" t="s">
        <v>10</v>
      </c>
      <c r="E91" t="s">
        <v>14</v>
      </c>
      <c r="F91" t="s">
        <v>13</v>
      </c>
      <c r="G91" t="s">
        <v>12</v>
      </c>
      <c r="H91" t="s">
        <v>11</v>
      </c>
      <c r="I91" t="s">
        <v>15</v>
      </c>
      <c r="J91" t="s">
        <v>16</v>
      </c>
      <c r="K91" t="s">
        <v>17</v>
      </c>
    </row>
    <row r="92" spans="1:11" x14ac:dyDescent="0.25">
      <c r="A92">
        <f>AxisValue(A91,4)</f>
        <v>-7.8</v>
      </c>
      <c r="B92">
        <f>AxisValue(B91,4)</f>
        <v>-2.7</v>
      </c>
      <c r="C92">
        <f>AxisValue(C91,4)</f>
        <v>1.5</v>
      </c>
      <c r="D92">
        <f ca="1">SQRT(INDIRECT("RC[-3]",0)^2 + INDIRECT("RC[-2]",0)^2 + INDIRECT("RC[-1]",0)^2)</f>
        <v>8.3892788724657379</v>
      </c>
    </row>
    <row r="93" spans="1:11" x14ac:dyDescent="0.25">
      <c r="A93">
        <f>AxisValue(A91,5)</f>
        <v>3.5</v>
      </c>
      <c r="B93">
        <f>AxisValue(B91,5)</f>
        <v>-1</v>
      </c>
      <c r="C93">
        <f>AxisValue(C91,5)</f>
        <v>9</v>
      </c>
      <c r="D93">
        <f ca="1">SQRT(INDIRECT("RC[-3]",0)^2 + INDIRECT("RC[-2]",0)^2 + INDIRECT("RC[-1]",0)^2)</f>
        <v>9.7082439194737997</v>
      </c>
      <c r="E93">
        <f ca="1">SQRT((INDIRECT("R[-1]C[-4]",0) - INDIRECT("RC[-4]",0))^2 + (INDIRECT("R[-1]C[-3]",0) - INDIRECT("RC[-3]",0))^2 + (INDIRECT("R[-1]C[-2]",0) - INDIRECT("RC[-2]",0))^2)</f>
        <v>13.668577102244404</v>
      </c>
      <c r="F93">
        <f t="shared" ref="F93:H96" ca="1" si="22">SQRT((INDIRECT("R[-1]C[-5]",0) - INDIRECT("RC[-5]",0))^2)</f>
        <v>11.3</v>
      </c>
      <c r="G93">
        <f t="shared" ca="1" si="22"/>
        <v>1.7000000000000002</v>
      </c>
      <c r="H93">
        <f t="shared" ca="1" si="22"/>
        <v>7.5</v>
      </c>
      <c r="I93">
        <f ca="1">SQRT((INDIRECT("R[-1]C[-8]",0) - INDIRECT("RC[-8]",0))^2 + (INDIRECT("R[-1]C[-7]",0) - INDIRECT("RC[-7]",0))^2)</f>
        <v>11.427160627207444</v>
      </c>
      <c r="J93">
        <f ca="1">SQRT((INDIRECT("R[-1]C[-9]",0) - INDIRECT("RC[-9]",0))^2 + (INDIRECT("R[-1]C[-7]",0) - INDIRECT("RC[-7]",0))^2)</f>
        <v>13.56244815658294</v>
      </c>
      <c r="K93">
        <f ca="1">SQRT((INDIRECT("R[-1]C[-9]",0) - INDIRECT("RC[-9]",0))^2 + (INDIRECT("R[-1]C[-8]",0) - INDIRECT("RC[-8]",0))^2)</f>
        <v>7.6902535718921516</v>
      </c>
    </row>
    <row r="94" spans="1:11" x14ac:dyDescent="0.25">
      <c r="A94">
        <f>AxisValue(A91,6)</f>
        <v>-0.44</v>
      </c>
      <c r="B94">
        <f>AxisValue(B91,6)</f>
        <v>-3.33</v>
      </c>
      <c r="C94">
        <f>AxisValue(C91,6)</f>
        <v>6.33</v>
      </c>
      <c r="D94">
        <f ca="1">SQRT(INDIRECT("RC[-3]",0)^2 + INDIRECT("RC[-2]",0)^2 + INDIRECT("RC[-1]",0)^2)</f>
        <v>7.1659891152582693</v>
      </c>
      <c r="E94">
        <f ca="1">SQRT((INDIRECT("R[-1]C[-4]",0) - INDIRECT("RC[-4]",0))^2 + (INDIRECT("R[-1]C[-3]",0) - INDIRECT("RC[-3]",0))^2 + (INDIRECT("R[-1]C[-2]",0) - INDIRECT("RC[-2]",0))^2)</f>
        <v>5.2991886171375331</v>
      </c>
      <c r="F94">
        <f t="shared" ca="1" si="22"/>
        <v>3.94</v>
      </c>
      <c r="G94">
        <f t="shared" ca="1" si="22"/>
        <v>2.33</v>
      </c>
      <c r="H94">
        <f t="shared" ca="1" si="22"/>
        <v>2.67</v>
      </c>
      <c r="I94">
        <f ca="1">SQRT((INDIRECT("R[-1]C[-8]",0) - INDIRECT("RC[-8]",0))^2 + (INDIRECT("R[-1]C[-7]",0) - INDIRECT("RC[-7]",0))^2)</f>
        <v>4.5773900860643284</v>
      </c>
      <c r="J94">
        <f ca="1">SQRT((INDIRECT("R[-1]C[-9]",0) - INDIRECT("RC[-9]",0))^2 + (INDIRECT("R[-1]C[-7]",0) - INDIRECT("RC[-7]",0))^2)</f>
        <v>4.7594642555649056</v>
      </c>
      <c r="K94">
        <f ca="1">SQRT((INDIRECT("R[-1]C[-9]",0) - INDIRECT("RC[-9]",0))^2 + (INDIRECT("R[-1]C[-8]",0) - INDIRECT("RC[-8]",0))^2)</f>
        <v>3.5436986327846784</v>
      </c>
    </row>
    <row r="95" spans="1:11" x14ac:dyDescent="0.25">
      <c r="A95">
        <f>AxisValue(A91,7)</f>
        <v>3.5</v>
      </c>
      <c r="B95">
        <f>AxisValue(B91,7)</f>
        <v>2</v>
      </c>
      <c r="C95">
        <f>AxisValue(C91,7)</f>
        <v>-1.22</v>
      </c>
      <c r="D95">
        <f ca="1">SQRT(INDIRECT("RC[-3]",0)^2 + INDIRECT("RC[-2]",0)^2 + INDIRECT("RC[-1]",0)^2)</f>
        <v>4.2116979948709519</v>
      </c>
      <c r="E95">
        <f ca="1">SQRT((INDIRECT("R[-1]C[-4]",0) - INDIRECT("RC[-4]",0))^2 + (INDIRECT("R[-1]C[-3]",0) - INDIRECT("RC[-3]",0))^2 + (INDIRECT("R[-1]C[-2]",0) - INDIRECT("RC[-2]",0))^2)</f>
        <v>10.04664122978421</v>
      </c>
      <c r="F95">
        <f t="shared" ca="1" si="22"/>
        <v>3.94</v>
      </c>
      <c r="G95">
        <f t="shared" ca="1" si="22"/>
        <v>5.33</v>
      </c>
      <c r="H95">
        <f t="shared" ca="1" si="22"/>
        <v>7.55</v>
      </c>
      <c r="I95">
        <f ca="1">SQRT((INDIRECT("R[-1]C[-8]",0) - INDIRECT("RC[-8]",0))^2 + (INDIRECT("R[-1]C[-7]",0) - INDIRECT("RC[-7]",0))^2)</f>
        <v>6.6281596239076803</v>
      </c>
      <c r="J95">
        <f ca="1">SQRT((INDIRECT("R[-1]C[-9]",0) - INDIRECT("RC[-9]",0))^2 + (INDIRECT("R[-1]C[-7]",0) - INDIRECT("RC[-7]",0))^2)</f>
        <v>8.516225689822928</v>
      </c>
      <c r="K95">
        <f ca="1">SQRT((INDIRECT("R[-1]C[-9]",0) - INDIRECT("RC[-9]",0))^2 + (INDIRECT("R[-1]C[-8]",0) - INDIRECT("RC[-8]",0))^2)</f>
        <v>9.2418288233444361</v>
      </c>
    </row>
    <row r="96" spans="1:11" x14ac:dyDescent="0.25">
      <c r="A96">
        <f>AxisValue(A91,8)</f>
        <v>-0.77</v>
      </c>
      <c r="B96">
        <f>AxisValue(B91,8)</f>
        <v>-2.11</v>
      </c>
      <c r="C96">
        <f>AxisValue(C91,8)</f>
        <v>-4.0090000000000003</v>
      </c>
      <c r="D96">
        <f ca="1">SQRT(INDIRECT("RC[-3]",0)^2 + INDIRECT("RC[-2]",0)^2 + INDIRECT("RC[-1]",0)^2)</f>
        <v>4.5953325233327789</v>
      </c>
      <c r="E96">
        <f ca="1">SQRT((INDIRECT("R[-1]C[-4]",0) - INDIRECT("RC[-4]",0))^2 + (INDIRECT("R[-1]C[-3]",0) - INDIRECT("RC[-3]",0))^2 + (INDIRECT("R[-1]C[-2]",0) - INDIRECT("RC[-2]",0))^2)</f>
        <v>6.5500779384676022</v>
      </c>
      <c r="F96">
        <f t="shared" ca="1" si="22"/>
        <v>4.2699999999999996</v>
      </c>
      <c r="G96">
        <f t="shared" ca="1" si="22"/>
        <v>4.1099999999999994</v>
      </c>
      <c r="H96">
        <f t="shared" ca="1" si="22"/>
        <v>2.7890000000000006</v>
      </c>
      <c r="I96">
        <f ca="1">SQRT((INDIRECT("R[-1]C[-8]",0) - INDIRECT("RC[-8]",0))^2 + (INDIRECT("R[-1]C[-7]",0) - INDIRECT("RC[-7]",0))^2)</f>
        <v>5.9266347955648486</v>
      </c>
      <c r="J96">
        <f ca="1">SQRT((INDIRECT("R[-1]C[-9]",0) - INDIRECT("RC[-9]",0))^2 + (INDIRECT("R[-1]C[-7]",0) - INDIRECT("RC[-7]",0))^2)</f>
        <v>5.1001393118227663</v>
      </c>
      <c r="K96">
        <f ca="1">SQRT((INDIRECT("R[-1]C[-9]",0) - INDIRECT("RC[-9]",0))^2 + (INDIRECT("R[-1]C[-8]",0) - INDIRECT("RC[-8]",0))^2)</f>
        <v>4.9669528888444265</v>
      </c>
    </row>
    <row r="97" spans="1:11" x14ac:dyDescent="0.25">
      <c r="D97" t="s">
        <v>4</v>
      </c>
      <c r="E97">
        <f t="shared" ref="E97:K97" ca="1" si="23">(INDIRECT("R[-1]C",0) + INDIRECT("R[-2]C",0) + INDIRECT("R[-3]C",0) + INDIRECT("R[-4]C",0))</f>
        <v>35.564484887633753</v>
      </c>
      <c r="F97">
        <f t="shared" ca="1" si="23"/>
        <v>23.45</v>
      </c>
      <c r="G97">
        <f t="shared" ca="1" si="23"/>
        <v>13.469999999999999</v>
      </c>
      <c r="H97">
        <f t="shared" ca="1" si="23"/>
        <v>20.509</v>
      </c>
      <c r="I97">
        <f t="shared" ca="1" si="23"/>
        <v>28.559345132744298</v>
      </c>
      <c r="J97">
        <f t="shared" ca="1" si="23"/>
        <v>31.938277413793536</v>
      </c>
      <c r="K97">
        <f t="shared" ca="1" si="23"/>
        <v>25.442733916865691</v>
      </c>
    </row>
    <row r="98" spans="1:11" x14ac:dyDescent="0.25">
      <c r="A98" t="s">
        <v>18</v>
      </c>
    </row>
    <row r="99" spans="1:11" x14ac:dyDescent="0.25">
      <c r="A99" s="1" t="s">
        <v>24</v>
      </c>
      <c r="B99" s="1" t="s">
        <v>25</v>
      </c>
      <c r="C99" s="1" t="s">
        <v>26</v>
      </c>
      <c r="D99" t="s">
        <v>10</v>
      </c>
      <c r="E99" t="s">
        <v>14</v>
      </c>
      <c r="F99" t="s">
        <v>13</v>
      </c>
      <c r="G99" t="s">
        <v>12</v>
      </c>
      <c r="H99" t="s">
        <v>11</v>
      </c>
      <c r="I99" t="s">
        <v>15</v>
      </c>
      <c r="J99" t="s">
        <v>16</v>
      </c>
      <c r="K99" t="s">
        <v>17</v>
      </c>
    </row>
    <row r="100" spans="1:11" x14ac:dyDescent="0.25">
      <c r="A100">
        <f>AxisValue(A99,4)</f>
        <v>-7.8</v>
      </c>
      <c r="B100">
        <f>AxisValue(B99,4)</f>
        <v>-2.7</v>
      </c>
      <c r="C100">
        <f>AxisValue(C99,4)</f>
        <v>-1.5</v>
      </c>
      <c r="D100">
        <f ca="1">SQRT(INDIRECT("RC[-3]",0)^2 + INDIRECT("RC[-2]",0)^2 + INDIRECT("RC[-1]",0)^2)</f>
        <v>8.3892788724657379</v>
      </c>
    </row>
    <row r="101" spans="1:11" x14ac:dyDescent="0.25">
      <c r="A101">
        <f>AxisValue(A99,5)</f>
        <v>3.5</v>
      </c>
      <c r="B101">
        <f>AxisValue(B99,5)</f>
        <v>-1</v>
      </c>
      <c r="C101">
        <f>AxisValue(C99,5)</f>
        <v>-9</v>
      </c>
      <c r="D101">
        <f ca="1">SQRT(INDIRECT("RC[-3]",0)^2 + INDIRECT("RC[-2]",0)^2 + INDIRECT("RC[-1]",0)^2)</f>
        <v>9.7082439194737997</v>
      </c>
      <c r="E101">
        <f ca="1">SQRT((INDIRECT("R[-1]C[-4]",0) - INDIRECT("RC[-4]",0))^2 + (INDIRECT("R[-1]C[-3]",0) - INDIRECT("RC[-3]",0))^2 + (INDIRECT("R[-1]C[-2]",0) - INDIRECT("RC[-2]",0))^2)</f>
        <v>13.668577102244404</v>
      </c>
      <c r="F101">
        <f t="shared" ref="F101:H104" ca="1" si="24">SQRT((INDIRECT("R[-1]C[-5]",0) - INDIRECT("RC[-5]",0))^2)</f>
        <v>11.3</v>
      </c>
      <c r="G101">
        <f t="shared" ca="1" si="24"/>
        <v>1.7000000000000002</v>
      </c>
      <c r="H101">
        <f t="shared" ca="1" si="24"/>
        <v>7.5</v>
      </c>
      <c r="I101">
        <f ca="1">SQRT((INDIRECT("R[-1]C[-8]",0) - INDIRECT("RC[-8]",0))^2 + (INDIRECT("R[-1]C[-7]",0) - INDIRECT("RC[-7]",0))^2)</f>
        <v>11.427160627207444</v>
      </c>
      <c r="J101">
        <f ca="1">SQRT((INDIRECT("R[-1]C[-9]",0) - INDIRECT("RC[-9]",0))^2 + (INDIRECT("R[-1]C[-7]",0) - INDIRECT("RC[-7]",0))^2)</f>
        <v>13.56244815658294</v>
      </c>
      <c r="K101">
        <f ca="1">SQRT((INDIRECT("R[-1]C[-9]",0) - INDIRECT("RC[-9]",0))^2 + (INDIRECT("R[-1]C[-8]",0) - INDIRECT("RC[-8]",0))^2)</f>
        <v>7.6902535718921516</v>
      </c>
    </row>
    <row r="102" spans="1:11" x14ac:dyDescent="0.25">
      <c r="A102">
        <f>AxisValue(A99,6)</f>
        <v>-0.44</v>
      </c>
      <c r="B102">
        <f>AxisValue(B99,6)</f>
        <v>-3.33</v>
      </c>
      <c r="C102">
        <f>AxisValue(C99,6)</f>
        <v>-6.33</v>
      </c>
      <c r="D102">
        <f ca="1">SQRT(INDIRECT("RC[-3]",0)^2 + INDIRECT("RC[-2]",0)^2 + INDIRECT("RC[-1]",0)^2)</f>
        <v>7.1659891152582693</v>
      </c>
      <c r="E102">
        <f ca="1">SQRT((INDIRECT("R[-1]C[-4]",0) - INDIRECT("RC[-4]",0))^2 + (INDIRECT("R[-1]C[-3]",0) - INDIRECT("RC[-3]",0))^2 + (INDIRECT("R[-1]C[-2]",0) - INDIRECT("RC[-2]",0))^2)</f>
        <v>5.2991886171375331</v>
      </c>
      <c r="F102">
        <f t="shared" ca="1" si="24"/>
        <v>3.94</v>
      </c>
      <c r="G102">
        <f t="shared" ca="1" si="24"/>
        <v>2.33</v>
      </c>
      <c r="H102">
        <f t="shared" ca="1" si="24"/>
        <v>2.67</v>
      </c>
      <c r="I102">
        <f ca="1">SQRT((INDIRECT("R[-1]C[-8]",0) - INDIRECT("RC[-8]",0))^2 + (INDIRECT("R[-1]C[-7]",0) - INDIRECT("RC[-7]",0))^2)</f>
        <v>4.5773900860643284</v>
      </c>
      <c r="J102">
        <f ca="1">SQRT((INDIRECT("R[-1]C[-9]",0) - INDIRECT("RC[-9]",0))^2 + (INDIRECT("R[-1]C[-7]",0) - INDIRECT("RC[-7]",0))^2)</f>
        <v>4.7594642555649056</v>
      </c>
      <c r="K102">
        <f ca="1">SQRT((INDIRECT("R[-1]C[-9]",0) - INDIRECT("RC[-9]",0))^2 + (INDIRECT("R[-1]C[-8]",0) - INDIRECT("RC[-8]",0))^2)</f>
        <v>3.5436986327846784</v>
      </c>
    </row>
    <row r="103" spans="1:11" x14ac:dyDescent="0.25">
      <c r="A103">
        <f>AxisValue(A99,7)</f>
        <v>3.5</v>
      </c>
      <c r="B103">
        <f>AxisValue(B99,7)</f>
        <v>2</v>
      </c>
      <c r="C103">
        <f>AxisValue(C99,7)</f>
        <v>1.22</v>
      </c>
      <c r="D103">
        <f ca="1">SQRT(INDIRECT("RC[-3]",0)^2 + INDIRECT("RC[-2]",0)^2 + INDIRECT("RC[-1]",0)^2)</f>
        <v>4.2116979948709519</v>
      </c>
      <c r="E103">
        <f ca="1">SQRT((INDIRECT("R[-1]C[-4]",0) - INDIRECT("RC[-4]",0))^2 + (INDIRECT("R[-1]C[-3]",0) - INDIRECT("RC[-3]",0))^2 + (INDIRECT("R[-1]C[-2]",0) - INDIRECT("RC[-2]",0))^2)</f>
        <v>10.04664122978421</v>
      </c>
      <c r="F103">
        <f t="shared" ca="1" si="24"/>
        <v>3.94</v>
      </c>
      <c r="G103">
        <f t="shared" ca="1" si="24"/>
        <v>5.33</v>
      </c>
      <c r="H103">
        <f t="shared" ca="1" si="24"/>
        <v>7.55</v>
      </c>
      <c r="I103">
        <f ca="1">SQRT((INDIRECT("R[-1]C[-8]",0) - INDIRECT("RC[-8]",0))^2 + (INDIRECT("R[-1]C[-7]",0) - INDIRECT("RC[-7]",0))^2)</f>
        <v>6.6281596239076803</v>
      </c>
      <c r="J103">
        <f ca="1">SQRT((INDIRECT("R[-1]C[-9]",0) - INDIRECT("RC[-9]",0))^2 + (INDIRECT("R[-1]C[-7]",0) - INDIRECT("RC[-7]",0))^2)</f>
        <v>8.516225689822928</v>
      </c>
      <c r="K103">
        <f ca="1">SQRT((INDIRECT("R[-1]C[-9]",0) - INDIRECT("RC[-9]",0))^2 + (INDIRECT("R[-1]C[-8]",0) - INDIRECT("RC[-8]",0))^2)</f>
        <v>9.2418288233444361</v>
      </c>
    </row>
    <row r="104" spans="1:11" x14ac:dyDescent="0.25">
      <c r="A104">
        <f>AxisValue(A99,8)</f>
        <v>-0.77</v>
      </c>
      <c r="B104">
        <f>AxisValue(B99,8)</f>
        <v>-2.11</v>
      </c>
      <c r="C104">
        <f>AxisValue(C99,8)</f>
        <v>4.0090000000000003</v>
      </c>
      <c r="D104">
        <f ca="1">SQRT(INDIRECT("RC[-3]",0)^2 + INDIRECT("RC[-2]",0)^2 + INDIRECT("RC[-1]",0)^2)</f>
        <v>4.5953325233327789</v>
      </c>
      <c r="E104">
        <f ca="1">SQRT((INDIRECT("R[-1]C[-4]",0) - INDIRECT("RC[-4]",0))^2 + (INDIRECT("R[-1]C[-3]",0) - INDIRECT("RC[-3]",0))^2 + (INDIRECT("R[-1]C[-2]",0) - INDIRECT("RC[-2]",0))^2)</f>
        <v>6.5500779384676022</v>
      </c>
      <c r="F104">
        <f t="shared" ca="1" si="24"/>
        <v>4.2699999999999996</v>
      </c>
      <c r="G104">
        <f t="shared" ca="1" si="24"/>
        <v>4.1099999999999994</v>
      </c>
      <c r="H104">
        <f t="shared" ca="1" si="24"/>
        <v>2.7890000000000006</v>
      </c>
      <c r="I104">
        <f ca="1">SQRT((INDIRECT("R[-1]C[-8]",0) - INDIRECT("RC[-8]",0))^2 + (INDIRECT("R[-1]C[-7]",0) - INDIRECT("RC[-7]",0))^2)</f>
        <v>5.9266347955648486</v>
      </c>
      <c r="J104">
        <f ca="1">SQRT((INDIRECT("R[-1]C[-9]",0) - INDIRECT("RC[-9]",0))^2 + (INDIRECT("R[-1]C[-7]",0) - INDIRECT("RC[-7]",0))^2)</f>
        <v>5.1001393118227663</v>
      </c>
      <c r="K104">
        <f ca="1">SQRT((INDIRECT("R[-1]C[-9]",0) - INDIRECT("RC[-9]",0))^2 + (INDIRECT("R[-1]C[-8]",0) - INDIRECT("RC[-8]",0))^2)</f>
        <v>4.9669528888444265</v>
      </c>
    </row>
    <row r="105" spans="1:11" x14ac:dyDescent="0.25">
      <c r="D105" t="s">
        <v>4</v>
      </c>
      <c r="E105">
        <f t="shared" ref="E105:K105" ca="1" si="25">(INDIRECT("R[-1]C",0) + INDIRECT("R[-2]C",0) + INDIRECT("R[-3]C",0) + INDIRECT("R[-4]C",0))</f>
        <v>35.564484887633753</v>
      </c>
      <c r="F105">
        <f t="shared" ca="1" si="25"/>
        <v>23.45</v>
      </c>
      <c r="G105">
        <f t="shared" ca="1" si="25"/>
        <v>13.469999999999999</v>
      </c>
      <c r="H105">
        <f t="shared" ca="1" si="25"/>
        <v>20.509</v>
      </c>
      <c r="I105">
        <f t="shared" ca="1" si="25"/>
        <v>28.559345132744298</v>
      </c>
      <c r="J105">
        <f t="shared" ca="1" si="25"/>
        <v>31.938277413793536</v>
      </c>
      <c r="K105">
        <f t="shared" ca="1" si="25"/>
        <v>25.442733916865691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Prototype Tests</vt:lpstr>
      <vt:lpstr>Test1</vt:lpstr>
      <vt:lpstr>Test2</vt:lpstr>
      <vt:lpstr>Test3</vt:lpstr>
      <vt:lpstr>Test5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McCain, Mathew</dc:creator>
  <cp:lastModifiedBy>Mathew McCain</cp:lastModifiedBy>
  <dcterms:created xsi:type="dcterms:W3CDTF">2017-05-18T20:17:44Z</dcterms:created>
  <dcterms:modified xsi:type="dcterms:W3CDTF">2017-05-23T22:14:11Z</dcterms:modified>
</cp:coreProperties>
</file>