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el\Dropbox\CSCD350\the-project-team-11\tests\"/>
    </mc:Choice>
  </mc:AlternateContent>
  <bookViews>
    <workbookView xWindow="0" yWindow="0" windowWidth="21570" windowHeight="7980"/>
  </bookViews>
  <sheets>
    <sheet name="UnitConversion" sheetId="7" r:id="rId1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57" i="7" l="1"/>
  <c r="S57" i="7"/>
  <c r="T57" i="7"/>
  <c r="U57" i="7"/>
  <c r="R58" i="7"/>
  <c r="S58" i="7"/>
  <c r="T58" i="7"/>
  <c r="U58" i="7"/>
  <c r="X59" i="7" s="1"/>
  <c r="R59" i="7"/>
  <c r="S59" i="7"/>
  <c r="T59" i="7"/>
  <c r="U59" i="7"/>
  <c r="R60" i="7"/>
  <c r="S60" i="7"/>
  <c r="T60" i="7"/>
  <c r="U60" i="7"/>
  <c r="R61" i="7"/>
  <c r="S61" i="7"/>
  <c r="T61" i="7"/>
  <c r="U61" i="7"/>
  <c r="R62" i="7"/>
  <c r="S62" i="7"/>
  <c r="T62" i="7"/>
  <c r="U62" i="7"/>
  <c r="R63" i="7"/>
  <c r="S63" i="7"/>
  <c r="T63" i="7"/>
  <c r="U63" i="7"/>
  <c r="R64" i="7"/>
  <c r="S64" i="7"/>
  <c r="T64" i="7"/>
  <c r="U64" i="7"/>
  <c r="S56" i="7"/>
  <c r="T56" i="7"/>
  <c r="U56" i="7"/>
  <c r="R56" i="7"/>
  <c r="M57" i="7"/>
  <c r="N57" i="7"/>
  <c r="O57" i="7"/>
  <c r="P57" i="7"/>
  <c r="M58" i="7"/>
  <c r="N58" i="7"/>
  <c r="O58" i="7"/>
  <c r="P58" i="7"/>
  <c r="M59" i="7"/>
  <c r="N59" i="7"/>
  <c r="O59" i="7"/>
  <c r="P59" i="7"/>
  <c r="M60" i="7"/>
  <c r="N60" i="7"/>
  <c r="O60" i="7"/>
  <c r="P60" i="7"/>
  <c r="M61" i="7"/>
  <c r="N61" i="7"/>
  <c r="O61" i="7"/>
  <c r="P61" i="7"/>
  <c r="M62" i="7"/>
  <c r="N62" i="7"/>
  <c r="O62" i="7"/>
  <c r="P62" i="7"/>
  <c r="M63" i="7"/>
  <c r="N63" i="7"/>
  <c r="O63" i="7"/>
  <c r="P63" i="7"/>
  <c r="M64" i="7"/>
  <c r="N64" i="7"/>
  <c r="O64" i="7"/>
  <c r="P64" i="7"/>
  <c r="N56" i="7"/>
  <c r="O56" i="7"/>
  <c r="P56" i="7"/>
  <c r="M56" i="7"/>
  <c r="H57" i="7"/>
  <c r="I57" i="7"/>
  <c r="J57" i="7"/>
  <c r="K57" i="7"/>
  <c r="H58" i="7"/>
  <c r="I58" i="7"/>
  <c r="J58" i="7"/>
  <c r="K58" i="7"/>
  <c r="H59" i="7"/>
  <c r="I59" i="7"/>
  <c r="J59" i="7"/>
  <c r="K59" i="7"/>
  <c r="H60" i="7"/>
  <c r="I60" i="7"/>
  <c r="J60" i="7"/>
  <c r="K60" i="7"/>
  <c r="H61" i="7"/>
  <c r="I61" i="7"/>
  <c r="J61" i="7"/>
  <c r="K61" i="7"/>
  <c r="H62" i="7"/>
  <c r="I62" i="7"/>
  <c r="J62" i="7"/>
  <c r="K62" i="7"/>
  <c r="H63" i="7"/>
  <c r="I63" i="7"/>
  <c r="J63" i="7"/>
  <c r="K63" i="7"/>
  <c r="H64" i="7"/>
  <c r="I64" i="7"/>
  <c r="J64" i="7"/>
  <c r="K64" i="7"/>
  <c r="I56" i="7"/>
  <c r="J56" i="7"/>
  <c r="K56" i="7"/>
  <c r="H56" i="7"/>
  <c r="X56" i="7"/>
  <c r="R44" i="7"/>
  <c r="S44" i="7"/>
  <c r="T44" i="7"/>
  <c r="U44" i="7"/>
  <c r="R45" i="7"/>
  <c r="S45" i="7"/>
  <c r="T45" i="7"/>
  <c r="U45" i="7"/>
  <c r="R46" i="7"/>
  <c r="S46" i="7"/>
  <c r="T46" i="7"/>
  <c r="U46" i="7"/>
  <c r="R47" i="7"/>
  <c r="S47" i="7"/>
  <c r="T47" i="7"/>
  <c r="U47" i="7"/>
  <c r="R48" i="7"/>
  <c r="S48" i="7"/>
  <c r="T48" i="7"/>
  <c r="U48" i="7"/>
  <c r="R49" i="7"/>
  <c r="S49" i="7"/>
  <c r="T49" i="7"/>
  <c r="U49" i="7"/>
  <c r="R50" i="7"/>
  <c r="S50" i="7"/>
  <c r="T50" i="7"/>
  <c r="U50" i="7"/>
  <c r="R51" i="7"/>
  <c r="S51" i="7"/>
  <c r="T51" i="7"/>
  <c r="U51" i="7"/>
  <c r="S43" i="7"/>
  <c r="T43" i="7"/>
  <c r="U43" i="7"/>
  <c r="R43" i="7"/>
  <c r="M44" i="7"/>
  <c r="N44" i="7"/>
  <c r="O44" i="7"/>
  <c r="P44" i="7"/>
  <c r="M45" i="7"/>
  <c r="N45" i="7"/>
  <c r="O45" i="7"/>
  <c r="P45" i="7"/>
  <c r="M46" i="7"/>
  <c r="N46" i="7"/>
  <c r="O46" i="7"/>
  <c r="P46" i="7"/>
  <c r="M47" i="7"/>
  <c r="N47" i="7"/>
  <c r="O47" i="7"/>
  <c r="P47" i="7"/>
  <c r="M48" i="7"/>
  <c r="N48" i="7"/>
  <c r="O48" i="7"/>
  <c r="P48" i="7"/>
  <c r="M49" i="7"/>
  <c r="N49" i="7"/>
  <c r="O49" i="7"/>
  <c r="P49" i="7"/>
  <c r="M50" i="7"/>
  <c r="N50" i="7"/>
  <c r="O50" i="7"/>
  <c r="P50" i="7"/>
  <c r="M51" i="7"/>
  <c r="N51" i="7"/>
  <c r="O51" i="7"/>
  <c r="P51" i="7"/>
  <c r="N43" i="7"/>
  <c r="O43" i="7"/>
  <c r="P43" i="7"/>
  <c r="M43" i="7"/>
  <c r="H44" i="7"/>
  <c r="I44" i="7"/>
  <c r="J44" i="7"/>
  <c r="K44" i="7"/>
  <c r="H45" i="7"/>
  <c r="I45" i="7"/>
  <c r="J45" i="7"/>
  <c r="K45" i="7"/>
  <c r="H46" i="7"/>
  <c r="I46" i="7"/>
  <c r="J46" i="7"/>
  <c r="K46" i="7"/>
  <c r="H47" i="7"/>
  <c r="I47" i="7"/>
  <c r="J47" i="7"/>
  <c r="K47" i="7"/>
  <c r="H48" i="7"/>
  <c r="I48" i="7"/>
  <c r="J48" i="7"/>
  <c r="K48" i="7"/>
  <c r="H49" i="7"/>
  <c r="I49" i="7"/>
  <c r="J49" i="7"/>
  <c r="K49" i="7"/>
  <c r="H50" i="7"/>
  <c r="I50" i="7"/>
  <c r="J50" i="7"/>
  <c r="K50" i="7"/>
  <c r="H51" i="7"/>
  <c r="I51" i="7"/>
  <c r="J51" i="7"/>
  <c r="K51" i="7"/>
  <c r="I43" i="7"/>
  <c r="J43" i="7"/>
  <c r="K43" i="7"/>
  <c r="H43" i="7"/>
  <c r="R31" i="7"/>
  <c r="S31" i="7"/>
  <c r="T31" i="7"/>
  <c r="U31" i="7"/>
  <c r="R32" i="7"/>
  <c r="S32" i="7"/>
  <c r="T32" i="7"/>
  <c r="U32" i="7"/>
  <c r="R33" i="7"/>
  <c r="S33" i="7"/>
  <c r="T33" i="7"/>
  <c r="U33" i="7"/>
  <c r="R34" i="7"/>
  <c r="S34" i="7"/>
  <c r="T34" i="7"/>
  <c r="U34" i="7"/>
  <c r="R35" i="7"/>
  <c r="S35" i="7"/>
  <c r="T35" i="7"/>
  <c r="U35" i="7"/>
  <c r="R36" i="7"/>
  <c r="S36" i="7"/>
  <c r="T36" i="7"/>
  <c r="U36" i="7"/>
  <c r="R37" i="7"/>
  <c r="S37" i="7"/>
  <c r="T37" i="7"/>
  <c r="U37" i="7"/>
  <c r="R38" i="7"/>
  <c r="S38" i="7"/>
  <c r="T38" i="7"/>
  <c r="U38" i="7"/>
  <c r="S30" i="7"/>
  <c r="T30" i="7"/>
  <c r="U30" i="7"/>
  <c r="R30" i="7"/>
  <c r="M31" i="7"/>
  <c r="N31" i="7"/>
  <c r="O31" i="7"/>
  <c r="P31" i="7"/>
  <c r="M32" i="7"/>
  <c r="N32" i="7"/>
  <c r="O32" i="7"/>
  <c r="P32" i="7"/>
  <c r="M33" i="7"/>
  <c r="N33" i="7"/>
  <c r="O33" i="7"/>
  <c r="P33" i="7"/>
  <c r="M34" i="7"/>
  <c r="N34" i="7"/>
  <c r="O34" i="7"/>
  <c r="P34" i="7"/>
  <c r="M35" i="7"/>
  <c r="N35" i="7"/>
  <c r="O35" i="7"/>
  <c r="P35" i="7"/>
  <c r="M36" i="7"/>
  <c r="N36" i="7"/>
  <c r="O36" i="7"/>
  <c r="P36" i="7"/>
  <c r="M37" i="7"/>
  <c r="N37" i="7"/>
  <c r="O37" i="7"/>
  <c r="P37" i="7"/>
  <c r="M38" i="7"/>
  <c r="N38" i="7"/>
  <c r="O38" i="7"/>
  <c r="P38" i="7"/>
  <c r="N30" i="7"/>
  <c r="O30" i="7"/>
  <c r="P30" i="7"/>
  <c r="M30" i="7"/>
  <c r="H30" i="7"/>
  <c r="I30" i="7"/>
  <c r="H31" i="7"/>
  <c r="I31" i="7"/>
  <c r="J31" i="7"/>
  <c r="K31" i="7"/>
  <c r="H32" i="7"/>
  <c r="I32" i="7"/>
  <c r="J32" i="7"/>
  <c r="K32" i="7"/>
  <c r="H33" i="7"/>
  <c r="I33" i="7"/>
  <c r="J33" i="7"/>
  <c r="K33" i="7"/>
  <c r="H34" i="7"/>
  <c r="I34" i="7"/>
  <c r="J34" i="7"/>
  <c r="K34" i="7"/>
  <c r="H35" i="7"/>
  <c r="I35" i="7"/>
  <c r="J35" i="7"/>
  <c r="K35" i="7"/>
  <c r="H36" i="7"/>
  <c r="I36" i="7"/>
  <c r="J36" i="7"/>
  <c r="K36" i="7"/>
  <c r="H37" i="7"/>
  <c r="I37" i="7"/>
  <c r="J37" i="7"/>
  <c r="K37" i="7"/>
  <c r="H38" i="7"/>
  <c r="I38" i="7"/>
  <c r="J38" i="7"/>
  <c r="K38" i="7"/>
  <c r="J30" i="7"/>
  <c r="K30" i="7"/>
  <c r="R18" i="7"/>
  <c r="S18" i="7"/>
  <c r="T18" i="7"/>
  <c r="U18" i="7"/>
  <c r="R19" i="7"/>
  <c r="S19" i="7"/>
  <c r="T19" i="7"/>
  <c r="U19" i="7"/>
  <c r="R20" i="7"/>
  <c r="S20" i="7"/>
  <c r="T20" i="7"/>
  <c r="U20" i="7"/>
  <c r="R21" i="7"/>
  <c r="S21" i="7"/>
  <c r="T21" i="7"/>
  <c r="U21" i="7"/>
  <c r="R22" i="7"/>
  <c r="S22" i="7"/>
  <c r="T22" i="7"/>
  <c r="U22" i="7"/>
  <c r="R23" i="7"/>
  <c r="S23" i="7"/>
  <c r="T23" i="7"/>
  <c r="U23" i="7"/>
  <c r="R24" i="7"/>
  <c r="S24" i="7"/>
  <c r="T24" i="7"/>
  <c r="U24" i="7"/>
  <c r="R25" i="7"/>
  <c r="S25" i="7"/>
  <c r="T25" i="7"/>
  <c r="U25" i="7"/>
  <c r="S17" i="7"/>
  <c r="T17" i="7"/>
  <c r="U17" i="7"/>
  <c r="R17" i="7"/>
  <c r="M18" i="7"/>
  <c r="N18" i="7"/>
  <c r="O18" i="7"/>
  <c r="P18" i="7"/>
  <c r="M19" i="7"/>
  <c r="N19" i="7"/>
  <c r="O19" i="7"/>
  <c r="P19" i="7"/>
  <c r="M20" i="7"/>
  <c r="N20" i="7"/>
  <c r="O20" i="7"/>
  <c r="P20" i="7"/>
  <c r="M21" i="7"/>
  <c r="N21" i="7"/>
  <c r="O21" i="7"/>
  <c r="P21" i="7"/>
  <c r="M22" i="7"/>
  <c r="N22" i="7"/>
  <c r="O22" i="7"/>
  <c r="P22" i="7"/>
  <c r="M23" i="7"/>
  <c r="N23" i="7"/>
  <c r="O23" i="7"/>
  <c r="P23" i="7"/>
  <c r="M24" i="7"/>
  <c r="N24" i="7"/>
  <c r="O24" i="7"/>
  <c r="P24" i="7"/>
  <c r="M25" i="7"/>
  <c r="N25" i="7"/>
  <c r="O25" i="7"/>
  <c r="P25" i="7"/>
  <c r="N17" i="7"/>
  <c r="O17" i="7"/>
  <c r="P17" i="7"/>
  <c r="M17" i="7"/>
  <c r="H18" i="7"/>
  <c r="I18" i="7"/>
  <c r="J18" i="7"/>
  <c r="K18" i="7"/>
  <c r="H19" i="7"/>
  <c r="I19" i="7"/>
  <c r="J19" i="7"/>
  <c r="K19" i="7"/>
  <c r="H20" i="7"/>
  <c r="I20" i="7"/>
  <c r="J20" i="7"/>
  <c r="K20" i="7"/>
  <c r="H21" i="7"/>
  <c r="I21" i="7"/>
  <c r="J21" i="7"/>
  <c r="K21" i="7"/>
  <c r="H22" i="7"/>
  <c r="I22" i="7"/>
  <c r="J22" i="7"/>
  <c r="K22" i="7"/>
  <c r="H23" i="7"/>
  <c r="I23" i="7"/>
  <c r="J23" i="7"/>
  <c r="K23" i="7"/>
  <c r="H24" i="7"/>
  <c r="I24" i="7"/>
  <c r="J24" i="7"/>
  <c r="K24" i="7"/>
  <c r="H25" i="7"/>
  <c r="I25" i="7"/>
  <c r="J25" i="7"/>
  <c r="K25" i="7"/>
  <c r="I17" i="7"/>
  <c r="J17" i="7"/>
  <c r="K17" i="7"/>
  <c r="H17" i="7"/>
  <c r="X57" i="7" l="1"/>
  <c r="X58" i="7"/>
  <c r="X43" i="7"/>
  <c r="X46" i="7"/>
  <c r="X18" i="7"/>
  <c r="X45" i="7" l="1"/>
  <c r="X44" i="7"/>
  <c r="C18" i="7"/>
  <c r="D18" i="7"/>
  <c r="C19" i="7"/>
  <c r="D19" i="7"/>
  <c r="C20" i="7"/>
  <c r="D20" i="7"/>
  <c r="C21" i="7"/>
  <c r="D21" i="7"/>
  <c r="C22" i="7"/>
  <c r="D22" i="7"/>
  <c r="C23" i="7"/>
  <c r="D23" i="7"/>
  <c r="C24" i="7"/>
  <c r="D24" i="7"/>
  <c r="C25" i="7"/>
  <c r="D25" i="7"/>
  <c r="D17" i="7"/>
  <c r="C17" i="7"/>
  <c r="F17" i="7" l="1"/>
  <c r="L9" i="7"/>
  <c r="P6" i="7"/>
  <c r="Q6" i="7"/>
  <c r="P7" i="7"/>
  <c r="Q7" i="7"/>
  <c r="P8" i="7"/>
  <c r="Q8" i="7"/>
  <c r="P9" i="7"/>
  <c r="Q9" i="7"/>
  <c r="P10" i="7"/>
  <c r="Q10" i="7"/>
  <c r="P11" i="7"/>
  <c r="Q11" i="7"/>
  <c r="P12" i="7"/>
  <c r="Q12" i="7"/>
  <c r="O6" i="7"/>
  <c r="O7" i="7"/>
  <c r="O8" i="7"/>
  <c r="O9" i="7"/>
  <c r="O10" i="7"/>
  <c r="O11" i="7"/>
  <c r="O12" i="7"/>
  <c r="O5" i="7"/>
  <c r="Q5" i="7"/>
  <c r="P5" i="7"/>
  <c r="O4" i="7"/>
  <c r="L5" i="7"/>
  <c r="L6" i="7"/>
  <c r="L7" i="7"/>
  <c r="L8" i="7"/>
  <c r="L10" i="7"/>
  <c r="L11" i="7"/>
  <c r="L12" i="7"/>
  <c r="K5" i="7"/>
  <c r="K6" i="7"/>
  <c r="K7" i="7"/>
  <c r="K8" i="7"/>
  <c r="K9" i="7"/>
  <c r="K10" i="7"/>
  <c r="K11" i="7"/>
  <c r="K12" i="7"/>
  <c r="L4" i="7"/>
  <c r="K4" i="7"/>
  <c r="E19" i="7" l="1"/>
  <c r="E25" i="7"/>
  <c r="E24" i="7"/>
  <c r="E20" i="7"/>
  <c r="E23" i="7"/>
  <c r="E22" i="7"/>
  <c r="E17" i="7"/>
  <c r="E21" i="7"/>
  <c r="S5" i="7"/>
  <c r="E18" i="7"/>
  <c r="R11" i="7"/>
  <c r="S10" i="7"/>
  <c r="R8" i="7"/>
  <c r="S12" i="7"/>
  <c r="R10" i="7"/>
  <c r="R5" i="7"/>
  <c r="S7" i="7"/>
  <c r="S6" i="7"/>
  <c r="S11" i="7"/>
  <c r="R12" i="7"/>
  <c r="R7" i="7"/>
  <c r="S9" i="7"/>
  <c r="R9" i="7"/>
  <c r="S8" i="7"/>
  <c r="R6" i="7"/>
  <c r="T5" i="7"/>
  <c r="F22" i="7" l="1"/>
  <c r="F23" i="7"/>
  <c r="F24" i="7"/>
  <c r="F21" i="7"/>
  <c r="F25" i="7"/>
  <c r="F20" i="7"/>
  <c r="F18" i="7"/>
  <c r="T6" i="7"/>
  <c r="F19" i="7"/>
  <c r="X17" i="7" s="1"/>
  <c r="T9" i="7"/>
  <c r="T7" i="7"/>
  <c r="T12" i="7"/>
  <c r="T8" i="7"/>
  <c r="T10" i="7"/>
  <c r="T11" i="7"/>
  <c r="X30" i="7" l="1"/>
  <c r="X20" i="7"/>
  <c r="X19" i="7"/>
  <c r="X33" i="7" l="1"/>
  <c r="X31" i="7"/>
  <c r="X32" i="7"/>
</calcChain>
</file>

<file path=xl/sharedStrings.xml><?xml version="1.0" encoding="utf-8"?>
<sst xmlns="http://schemas.openxmlformats.org/spreadsheetml/2006/main" count="159" uniqueCount="69">
  <si>
    <t>X</t>
  </si>
  <si>
    <t>Y</t>
  </si>
  <si>
    <t>Z</t>
  </si>
  <si>
    <t>Km</t>
  </si>
  <si>
    <t>ft</t>
  </si>
  <si>
    <t>mi</t>
  </si>
  <si>
    <t>WAYPOINT</t>
  </si>
  <si>
    <t>LATITUDE</t>
  </si>
  <si>
    <t>⁰</t>
  </si>
  <si>
    <t>min</t>
  </si>
  <si>
    <t>sec</t>
  </si>
  <si>
    <t>LONGITUDE</t>
  </si>
  <si>
    <t>hdg</t>
  </si>
  <si>
    <t>S</t>
  </si>
  <si>
    <t>N</t>
  </si>
  <si>
    <t>W</t>
  </si>
  <si>
    <t>E</t>
  </si>
  <si>
    <t>COMMENT</t>
  </si>
  <si>
    <t>LAUNCH</t>
  </si>
  <si>
    <t>ASCENT</t>
  </si>
  <si>
    <t>APOAPSIS</t>
  </si>
  <si>
    <t>PERIAPSIS</t>
  </si>
  <si>
    <t>RE-ENTRY</t>
  </si>
  <si>
    <t>LANDING</t>
  </si>
  <si>
    <t>CIRCULARIZE</t>
  </si>
  <si>
    <t>CHUTES</t>
  </si>
  <si>
    <t>DE-ORBIT</t>
  </si>
  <si>
    <t>X (m)</t>
  </si>
  <si>
    <t>Y (m)</t>
  </si>
  <si>
    <t>Z (m)</t>
  </si>
  <si>
    <t>∆ S (m)</t>
  </si>
  <si>
    <t>TEST 1: METERS TO KILOMETERS, FEET, MILES</t>
  </si>
  <si>
    <t>X (ft)</t>
  </si>
  <si>
    <t>Y (ft)</t>
  </si>
  <si>
    <t>Z (mi)</t>
  </si>
  <si>
    <t>X (mi)</t>
  </si>
  <si>
    <t>Y (mi)</t>
  </si>
  <si>
    <t>∆ S (ft)</t>
  </si>
  <si>
    <t xml:space="preserve">Z (ft) </t>
  </si>
  <si>
    <t>∆ S (mi)</t>
  </si>
  <si>
    <t>∑ ∆ S</t>
  </si>
  <si>
    <t>m</t>
  </si>
  <si>
    <t>X (km)</t>
  </si>
  <si>
    <t>Y (km)</t>
  </si>
  <si>
    <t>Z (km)</t>
  </si>
  <si>
    <t>∆ S (km)</t>
  </si>
  <si>
    <t>TEST 2: FEET TO METERS, KILOMETERS, MILES</t>
  </si>
  <si>
    <t>FLIGHT PATH</t>
  </si>
  <si>
    <t>ECEF (m)</t>
  </si>
  <si>
    <t>∆ (m)</t>
  </si>
  <si>
    <t>∑ S (m)</t>
  </si>
  <si>
    <t>ALTITUDE (m)</t>
  </si>
  <si>
    <t>DECIMAL DEGREES ( ⁰ )</t>
  </si>
  <si>
    <t>km</t>
  </si>
  <si>
    <t>meter to kilometer</t>
  </si>
  <si>
    <t>kilometer to meter</t>
  </si>
  <si>
    <t>mile to kilometer</t>
  </si>
  <si>
    <t>kilometer to mile</t>
  </si>
  <si>
    <t>meter to foot</t>
  </si>
  <si>
    <t>meter to mile</t>
  </si>
  <si>
    <t>foot to meter</t>
  </si>
  <si>
    <t>foot to kilometer</t>
  </si>
  <si>
    <t>foot to mile</t>
  </si>
  <si>
    <t>kilometer to feet</t>
  </si>
  <si>
    <t>mile to meter</t>
  </si>
  <si>
    <t>mile to foot</t>
  </si>
  <si>
    <t>CONVERSION FACTORS</t>
  </si>
  <si>
    <t>TEST 3: KILOMETERS TO METERS, FEET, MILES</t>
  </si>
  <si>
    <t>TEST 3: MILES TO METERS, KILOMETERS, FEET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</si>
</sst>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00"/>
    <numFmt numFmtId="165" formatCode="0.000000"/>
    <numFmt numFmtId="166" formatCode="0.0000000000"/>
    <numFmt numFmtId="167" formatCode="0.0000000"/>
    <numFmt numFmtId="189" formatCode="0.0000000000000000000%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1" fontId="0" fillId="0" borderId="1" xfId="0" applyNumberFormat="1" applyBorder="1" applyAlignment="1">
      <alignment horizontal="center"/>
    </xf>
    <xf numFmtId="11" fontId="0" fillId="0" borderId="0" xfId="0" applyNumberFormat="1"/>
    <xf numFmtId="2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0" fillId="0" borderId="2" xfId="0" quotePrefix="1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1" fontId="0" fillId="0" borderId="2" xfId="0" applyNumberFormat="1" applyFont="1" applyBorder="1" applyAlignment="1">
      <alignment horizontal="center"/>
    </xf>
    <xf numFmtId="0" fontId="0" fillId="0" borderId="2" xfId="0" applyFont="1" applyFill="1" applyBorder="1" applyAlignment="1">
      <alignment horizontal="center" vertical="center"/>
    </xf>
    <xf numFmtId="11" fontId="0" fillId="0" borderId="3" xfId="0" applyNumberFormat="1" applyBorder="1" applyAlignment="1">
      <alignment horizontal="center"/>
    </xf>
    <xf numFmtId="11" fontId="0" fillId="0" borderId="1" xfId="0" applyNumberForma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1" fontId="0" fillId="0" borderId="0" xfId="0" applyNumberFormat="1" applyAlignment="1">
      <alignment horizontal="center"/>
    </xf>
    <xf numFmtId="0" fontId="3" fillId="0" borderId="1" xfId="0" applyFon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166" fontId="0" fillId="0" borderId="0" xfId="0" applyNumberFormat="1"/>
    <xf numFmtId="167" fontId="0" fillId="0" borderId="0" xfId="0" applyNumberFormat="1"/>
    <xf numFmtId="165" fontId="0" fillId="0" borderId="0" xfId="0" applyNumberFormat="1"/>
    <xf numFmtId="164" fontId="0" fillId="0" borderId="0" xfId="0" applyNumberFormat="1"/>
    <xf numFmtId="0" fontId="4" fillId="0" borderId="1" xfId="0" applyFont="1" applyBorder="1"/>
    <xf numFmtId="0" fontId="3" fillId="0" borderId="1" xfId="0" applyFont="1" applyBorder="1" applyAlignment="1">
      <alignment horizontal="center"/>
    </xf>
    <xf numFmtId="0" fontId="4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89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64"/>
  <sheetViews>
    <sheetView tabSelected="1" topLeftCell="A4" zoomScale="85" zoomScaleNormal="85" workbookViewId="0">
      <selection activeCell="R51" sqref="R51"/>
    </sheetView>
  </sheetViews>
  <sheetFormatPr defaultColWidth="12.85546875" defaultRowHeight="15" x14ac:dyDescent="0.25"/>
  <cols>
    <col min="2" max="2" width="14.5703125" bestFit="1" customWidth="1"/>
    <col min="3" max="4" width="16.5703125" bestFit="1" customWidth="1"/>
    <col min="5" max="5" width="14" bestFit="1" customWidth="1"/>
    <col min="6" max="6" width="16.140625" bestFit="1" customWidth="1"/>
    <col min="8" max="8" width="17" bestFit="1" customWidth="1"/>
    <col min="9" max="9" width="15.5703125" bestFit="1" customWidth="1"/>
    <col min="10" max="10" width="13.85546875" bestFit="1" customWidth="1"/>
    <col min="11" max="11" width="16" bestFit="1" customWidth="1"/>
    <col min="13" max="14" width="16.5703125" bestFit="1" customWidth="1"/>
    <col min="15" max="15" width="13.85546875" bestFit="1" customWidth="1"/>
    <col min="16" max="16" width="16" bestFit="1" customWidth="1"/>
    <col min="18" max="19" width="16.5703125" bestFit="1" customWidth="1"/>
    <col min="20" max="20" width="13.85546875" bestFit="1" customWidth="1"/>
    <col min="21" max="21" width="16" bestFit="1" customWidth="1"/>
    <col min="24" max="24" width="17" customWidth="1"/>
    <col min="25" max="25" width="11.140625" customWidth="1"/>
    <col min="26" max="26" width="21.7109375" bestFit="1" customWidth="1"/>
    <col min="28" max="28" width="18.5703125" bestFit="1" customWidth="1"/>
    <col min="29" max="29" width="13.85546875" bestFit="1" customWidth="1"/>
  </cols>
  <sheetData>
    <row r="1" spans="1:29" x14ac:dyDescent="0.25">
      <c r="A1" t="s">
        <v>47</v>
      </c>
      <c r="Z1" t="s">
        <v>66</v>
      </c>
    </row>
    <row r="2" spans="1:29" ht="15.75" x14ac:dyDescent="0.25">
      <c r="A2" s="33" t="s">
        <v>6</v>
      </c>
      <c r="B2" s="33" t="s">
        <v>51</v>
      </c>
      <c r="C2" s="33" t="s">
        <v>7</v>
      </c>
      <c r="D2" s="33"/>
      <c r="E2" s="33"/>
      <c r="F2" s="33"/>
      <c r="G2" s="33" t="s">
        <v>11</v>
      </c>
      <c r="H2" s="33"/>
      <c r="I2" s="33"/>
      <c r="J2" s="33"/>
      <c r="K2" s="33" t="s">
        <v>52</v>
      </c>
      <c r="L2" s="33"/>
      <c r="M2" s="33" t="s">
        <v>48</v>
      </c>
      <c r="N2" s="33"/>
      <c r="O2" s="33"/>
      <c r="P2" s="30" t="s">
        <v>49</v>
      </c>
      <c r="Q2" s="30"/>
      <c r="R2" s="30"/>
      <c r="S2" s="31" t="s">
        <v>30</v>
      </c>
      <c r="T2" s="31" t="s">
        <v>50</v>
      </c>
      <c r="U2" s="33" t="s">
        <v>17</v>
      </c>
      <c r="Z2" t="s">
        <v>58</v>
      </c>
      <c r="AA2">
        <v>3.280833436679587</v>
      </c>
      <c r="AC2" s="26"/>
    </row>
    <row r="3" spans="1:29" ht="15.75" thickBot="1" x14ac:dyDescent="0.3">
      <c r="A3" s="34"/>
      <c r="B3" s="34"/>
      <c r="C3" s="8" t="s">
        <v>8</v>
      </c>
      <c r="D3" s="8" t="s">
        <v>12</v>
      </c>
      <c r="E3" s="9" t="s">
        <v>9</v>
      </c>
      <c r="F3" s="10" t="s">
        <v>10</v>
      </c>
      <c r="G3" s="8" t="s">
        <v>8</v>
      </c>
      <c r="H3" s="11" t="s">
        <v>12</v>
      </c>
      <c r="I3" s="9" t="s">
        <v>9</v>
      </c>
      <c r="J3" s="10" t="s">
        <v>10</v>
      </c>
      <c r="K3" s="10" t="s">
        <v>0</v>
      </c>
      <c r="L3" s="10" t="s">
        <v>1</v>
      </c>
      <c r="M3" s="10" t="s">
        <v>0</v>
      </c>
      <c r="N3" s="10" t="s">
        <v>1</v>
      </c>
      <c r="O3" s="10" t="s">
        <v>2</v>
      </c>
      <c r="P3" s="12" t="s">
        <v>0</v>
      </c>
      <c r="Q3" s="12" t="s">
        <v>1</v>
      </c>
      <c r="R3" s="12" t="s">
        <v>2</v>
      </c>
      <c r="S3" s="32"/>
      <c r="T3" s="32"/>
      <c r="U3" s="33"/>
      <c r="Z3" t="s">
        <v>54</v>
      </c>
      <c r="AA3">
        <v>1E-3</v>
      </c>
      <c r="AC3" s="24"/>
    </row>
    <row r="4" spans="1:29" x14ac:dyDescent="0.25">
      <c r="A4" s="6">
        <v>0</v>
      </c>
      <c r="B4" s="6">
        <v>91</v>
      </c>
      <c r="C4" s="7">
        <v>0</v>
      </c>
      <c r="D4" s="7" t="s">
        <v>13</v>
      </c>
      <c r="E4" s="7">
        <v>5</v>
      </c>
      <c r="F4" s="7">
        <v>49</v>
      </c>
      <c r="G4" s="7">
        <v>74</v>
      </c>
      <c r="H4" s="6" t="s">
        <v>15</v>
      </c>
      <c r="I4" s="7">
        <v>33</v>
      </c>
      <c r="J4" s="7">
        <v>27</v>
      </c>
      <c r="K4" s="13">
        <f t="shared" ref="K4:K12" si="0">(C4+(E4/60)+(F4/3600))*(IF(D4="S",-1,1))</f>
        <v>-9.6944444444444444E-2</v>
      </c>
      <c r="L4" s="13">
        <f t="shared" ref="L4:L12" si="1">(G4+(I4/60)+(J4/3600))*(IF(H4="W",-1,1))</f>
        <v>-74.55749999999999</v>
      </c>
      <c r="M4" s="13">
        <v>1698336</v>
      </c>
      <c r="N4" s="13">
        <v>-6147953</v>
      </c>
      <c r="O4" s="13">
        <f>B4</f>
        <v>91</v>
      </c>
      <c r="P4" s="13">
        <v>0</v>
      </c>
      <c r="Q4" s="13">
        <v>0</v>
      </c>
      <c r="R4" s="13">
        <v>0</v>
      </c>
      <c r="S4" s="13">
        <v>0</v>
      </c>
      <c r="T4" s="13">
        <v>0</v>
      </c>
      <c r="U4" s="5" t="s">
        <v>18</v>
      </c>
      <c r="Z4" t="s">
        <v>59</v>
      </c>
      <c r="AA4">
        <v>6.2137119223733392E-4</v>
      </c>
      <c r="AC4" s="24"/>
    </row>
    <row r="5" spans="1:29" x14ac:dyDescent="0.25">
      <c r="A5" s="5">
        <v>1</v>
      </c>
      <c r="B5" s="5">
        <v>51610</v>
      </c>
      <c r="C5" s="2">
        <v>0</v>
      </c>
      <c r="D5" s="2" t="s">
        <v>13</v>
      </c>
      <c r="E5" s="2">
        <v>12</v>
      </c>
      <c r="F5" s="2">
        <v>18</v>
      </c>
      <c r="G5" s="2">
        <v>72</v>
      </c>
      <c r="H5" s="2" t="s">
        <v>15</v>
      </c>
      <c r="I5" s="2">
        <v>33</v>
      </c>
      <c r="J5" s="2">
        <v>31</v>
      </c>
      <c r="K5" s="14">
        <f t="shared" si="0"/>
        <v>-0.20500000000000002</v>
      </c>
      <c r="L5" s="14">
        <f t="shared" si="1"/>
        <v>-72.558611111111105</v>
      </c>
      <c r="M5" s="14">
        <v>1927176</v>
      </c>
      <c r="N5" s="14">
        <v>-6134094</v>
      </c>
      <c r="O5" s="14">
        <f>B5</f>
        <v>51610</v>
      </c>
      <c r="P5" s="14">
        <f>M5-M4</f>
        <v>228840</v>
      </c>
      <c r="Q5" s="14">
        <f>N5-N4</f>
        <v>13859</v>
      </c>
      <c r="R5" s="14">
        <f>O5-O4</f>
        <v>51519</v>
      </c>
      <c r="S5" s="14">
        <f t="shared" ref="S5:S12" si="2">SQRT((M5-M4)^2 + (N5-N4)^2 + (O5-O4)^2)</f>
        <v>234976.64743969773</v>
      </c>
      <c r="T5" s="14">
        <f>SUM(S4:S5)</f>
        <v>234976.64743969773</v>
      </c>
      <c r="U5" s="5" t="s">
        <v>19</v>
      </c>
    </row>
    <row r="6" spans="1:29" x14ac:dyDescent="0.25">
      <c r="A6" s="5">
        <v>2</v>
      </c>
      <c r="B6" s="5">
        <v>132371</v>
      </c>
      <c r="C6" s="2">
        <v>1</v>
      </c>
      <c r="D6" s="2" t="s">
        <v>13</v>
      </c>
      <c r="E6" s="2">
        <v>10</v>
      </c>
      <c r="F6" s="2">
        <v>32</v>
      </c>
      <c r="G6" s="2">
        <v>57</v>
      </c>
      <c r="H6" s="2" t="s">
        <v>15</v>
      </c>
      <c r="I6" s="2">
        <v>12</v>
      </c>
      <c r="J6" s="2">
        <v>34</v>
      </c>
      <c r="K6" s="14">
        <f t="shared" si="0"/>
        <v>-1.1755555555555557</v>
      </c>
      <c r="L6" s="14">
        <f t="shared" si="1"/>
        <v>-57.209444444444451</v>
      </c>
      <c r="M6" s="14">
        <v>3525156</v>
      </c>
      <c r="N6" s="14">
        <v>-5471952</v>
      </c>
      <c r="O6" s="14">
        <f t="shared" ref="O6:O12" si="3">B6</f>
        <v>132371</v>
      </c>
      <c r="P6" s="14">
        <f t="shared" ref="P6:P12" si="4">M6-M5</f>
        <v>1597980</v>
      </c>
      <c r="Q6" s="14">
        <f t="shared" ref="Q6:Q12" si="5">N6-N5</f>
        <v>662142</v>
      </c>
      <c r="R6" s="14">
        <f t="shared" ref="R6:R12" si="6">O6-O5</f>
        <v>80761</v>
      </c>
      <c r="S6" s="14">
        <f t="shared" si="2"/>
        <v>1731616.1375099851</v>
      </c>
      <c r="T6" s="14">
        <f>SUM(S4:S6)</f>
        <v>1966592.7849496829</v>
      </c>
      <c r="U6" s="5" t="s">
        <v>24</v>
      </c>
      <c r="Z6" t="s">
        <v>60</v>
      </c>
      <c r="AA6">
        <v>0.30480059999999998</v>
      </c>
      <c r="AC6" s="25"/>
    </row>
    <row r="7" spans="1:29" x14ac:dyDescent="0.25">
      <c r="A7" s="5">
        <v>3</v>
      </c>
      <c r="B7" s="5">
        <v>173051</v>
      </c>
      <c r="C7" s="2">
        <v>0</v>
      </c>
      <c r="D7" s="2" t="s">
        <v>14</v>
      </c>
      <c r="E7" s="2">
        <v>57</v>
      </c>
      <c r="F7" s="2">
        <v>17</v>
      </c>
      <c r="G7" s="2">
        <v>135</v>
      </c>
      <c r="H7" s="2" t="s">
        <v>16</v>
      </c>
      <c r="I7" s="2">
        <v>23</v>
      </c>
      <c r="J7" s="2">
        <v>49</v>
      </c>
      <c r="K7" s="14">
        <f t="shared" si="0"/>
        <v>0.95472222222222214</v>
      </c>
      <c r="L7" s="14">
        <f t="shared" si="1"/>
        <v>135.39694444444444</v>
      </c>
      <c r="M7" s="14">
        <v>-4634768</v>
      </c>
      <c r="N7" s="14">
        <v>457099</v>
      </c>
      <c r="O7" s="14">
        <f t="shared" si="3"/>
        <v>173051</v>
      </c>
      <c r="P7" s="14">
        <f t="shared" si="4"/>
        <v>-8159924</v>
      </c>
      <c r="Q7" s="14">
        <f t="shared" si="5"/>
        <v>5929051</v>
      </c>
      <c r="R7" s="14">
        <f t="shared" si="6"/>
        <v>40680</v>
      </c>
      <c r="S7" s="14">
        <f t="shared" si="2"/>
        <v>10086607.968429079</v>
      </c>
      <c r="T7" s="14">
        <f>SUM(S4:S7)</f>
        <v>12053200.753378762</v>
      </c>
      <c r="U7" s="5" t="s">
        <v>20</v>
      </c>
      <c r="Z7" t="s">
        <v>61</v>
      </c>
      <c r="AA7">
        <v>3.0480059999999997E-4</v>
      </c>
      <c r="AC7" s="24"/>
    </row>
    <row r="8" spans="1:29" x14ac:dyDescent="0.25">
      <c r="A8" s="5">
        <v>4</v>
      </c>
      <c r="B8" s="5">
        <v>157118</v>
      </c>
      <c r="C8" s="2">
        <v>6</v>
      </c>
      <c r="D8" s="2" t="s">
        <v>13</v>
      </c>
      <c r="E8" s="2">
        <v>45</v>
      </c>
      <c r="F8" s="2">
        <v>34</v>
      </c>
      <c r="G8" s="2">
        <v>165</v>
      </c>
      <c r="H8" s="2" t="s">
        <v>16</v>
      </c>
      <c r="I8" s="2">
        <v>38</v>
      </c>
      <c r="J8" s="2">
        <v>1</v>
      </c>
      <c r="K8" s="14">
        <f t="shared" si="0"/>
        <v>-6.7594444444444441</v>
      </c>
      <c r="L8" s="14">
        <f t="shared" si="1"/>
        <v>165.63361111111109</v>
      </c>
      <c r="M8" s="14">
        <v>-6287169</v>
      </c>
      <c r="N8" s="14">
        <v>161034</v>
      </c>
      <c r="O8" s="14">
        <f t="shared" si="3"/>
        <v>157118</v>
      </c>
      <c r="P8" s="14">
        <f t="shared" si="4"/>
        <v>-1652401</v>
      </c>
      <c r="Q8" s="14">
        <f t="shared" si="5"/>
        <v>-296065</v>
      </c>
      <c r="R8" s="14">
        <f t="shared" si="6"/>
        <v>-15933</v>
      </c>
      <c r="S8" s="14">
        <f t="shared" si="2"/>
        <v>1678790.460276386</v>
      </c>
      <c r="T8" s="14">
        <f>SUM(S4:S8)</f>
        <v>13731991.213655148</v>
      </c>
      <c r="U8" s="5" t="s">
        <v>21</v>
      </c>
      <c r="Z8" t="s">
        <v>62</v>
      </c>
      <c r="AA8">
        <v>1.8939400000000001E-4</v>
      </c>
      <c r="AC8" s="24"/>
    </row>
    <row r="9" spans="1:29" x14ac:dyDescent="0.25">
      <c r="A9" s="5">
        <v>5</v>
      </c>
      <c r="B9" s="5">
        <v>101902</v>
      </c>
      <c r="C9" s="2">
        <v>27</v>
      </c>
      <c r="D9" s="2" t="s">
        <v>13</v>
      </c>
      <c r="E9" s="2">
        <v>25</v>
      </c>
      <c r="F9" s="2">
        <v>16</v>
      </c>
      <c r="G9" s="2">
        <v>175</v>
      </c>
      <c r="H9" s="2" t="s">
        <v>15</v>
      </c>
      <c r="I9" s="2">
        <v>54</v>
      </c>
      <c r="J9" s="2">
        <v>3</v>
      </c>
      <c r="K9" s="14">
        <f t="shared" si="0"/>
        <v>-27.421111111111113</v>
      </c>
      <c r="L9" s="14">
        <f t="shared" si="1"/>
        <v>-175.90083333333334</v>
      </c>
      <c r="M9" s="14">
        <v>-5471278</v>
      </c>
      <c r="N9" s="14">
        <v>-411456</v>
      </c>
      <c r="O9" s="14">
        <f t="shared" si="3"/>
        <v>101902</v>
      </c>
      <c r="P9" s="14">
        <f t="shared" si="4"/>
        <v>815891</v>
      </c>
      <c r="Q9" s="14">
        <f t="shared" si="5"/>
        <v>-572490</v>
      </c>
      <c r="R9" s="14">
        <f t="shared" si="6"/>
        <v>-55216</v>
      </c>
      <c r="S9" s="14">
        <f t="shared" si="2"/>
        <v>998234.30648169969</v>
      </c>
      <c r="T9" s="14">
        <f>SUM(S4:S9)</f>
        <v>14730225.520136848</v>
      </c>
      <c r="U9" s="5" t="s">
        <v>26</v>
      </c>
      <c r="AC9" s="24"/>
    </row>
    <row r="10" spans="1:29" x14ac:dyDescent="0.25">
      <c r="A10" s="5">
        <v>6</v>
      </c>
      <c r="B10" s="5">
        <v>45488</v>
      </c>
      <c r="C10" s="2">
        <v>40</v>
      </c>
      <c r="D10" s="2" t="s">
        <v>13</v>
      </c>
      <c r="E10" s="2">
        <v>46</v>
      </c>
      <c r="F10" s="2">
        <v>41</v>
      </c>
      <c r="G10" s="2">
        <v>155</v>
      </c>
      <c r="H10" s="2" t="s">
        <v>15</v>
      </c>
      <c r="I10" s="2">
        <v>9</v>
      </c>
      <c r="J10" s="2">
        <v>56</v>
      </c>
      <c r="K10" s="14">
        <f t="shared" si="0"/>
        <v>-40.778055555555554</v>
      </c>
      <c r="L10" s="14">
        <f t="shared" si="1"/>
        <v>-155.16555555555556</v>
      </c>
      <c r="M10" s="14">
        <v>-4420170</v>
      </c>
      <c r="N10" s="14">
        <v>-2045881</v>
      </c>
      <c r="O10" s="14">
        <f t="shared" si="3"/>
        <v>45488</v>
      </c>
      <c r="P10" s="14">
        <f t="shared" si="4"/>
        <v>1051108</v>
      </c>
      <c r="Q10" s="14">
        <f t="shared" si="5"/>
        <v>-1634425</v>
      </c>
      <c r="R10" s="14">
        <f t="shared" si="6"/>
        <v>-56414</v>
      </c>
      <c r="S10" s="14">
        <f t="shared" si="2"/>
        <v>1944056.4929252956</v>
      </c>
      <c r="T10" s="14">
        <f>SUM(S4:S10)</f>
        <v>16674282.013062144</v>
      </c>
      <c r="U10" s="5" t="s">
        <v>22</v>
      </c>
      <c r="Z10" t="s">
        <v>55</v>
      </c>
      <c r="AA10">
        <v>1000</v>
      </c>
      <c r="AC10" s="27"/>
    </row>
    <row r="11" spans="1:29" x14ac:dyDescent="0.25">
      <c r="A11" s="5">
        <v>7</v>
      </c>
      <c r="B11" s="5">
        <v>9163</v>
      </c>
      <c r="C11" s="2">
        <v>45</v>
      </c>
      <c r="D11" s="2" t="s">
        <v>13</v>
      </c>
      <c r="E11" s="2">
        <v>27</v>
      </c>
      <c r="F11" s="2">
        <v>0</v>
      </c>
      <c r="G11" s="2">
        <v>141</v>
      </c>
      <c r="H11" s="2" t="s">
        <v>15</v>
      </c>
      <c r="I11" s="2">
        <v>10</v>
      </c>
      <c r="J11" s="2">
        <v>44</v>
      </c>
      <c r="K11" s="14">
        <f t="shared" si="0"/>
        <v>-45.45</v>
      </c>
      <c r="L11" s="14">
        <f t="shared" si="1"/>
        <v>-141.17888888888888</v>
      </c>
      <c r="M11" s="14">
        <v>-3497035</v>
      </c>
      <c r="N11" s="14">
        <v>-2813811</v>
      </c>
      <c r="O11" s="14">
        <f t="shared" si="3"/>
        <v>9163</v>
      </c>
      <c r="P11" s="14">
        <f t="shared" si="4"/>
        <v>923135</v>
      </c>
      <c r="Q11" s="14">
        <f t="shared" si="5"/>
        <v>-767930</v>
      </c>
      <c r="R11" s="14">
        <f t="shared" si="6"/>
        <v>-36325</v>
      </c>
      <c r="S11" s="14">
        <f t="shared" si="2"/>
        <v>1201338.5113072835</v>
      </c>
      <c r="T11" s="14">
        <f>SUM(S4:S11)</f>
        <v>17875620.524369426</v>
      </c>
      <c r="U11" s="5" t="s">
        <v>25</v>
      </c>
      <c r="Z11" t="s">
        <v>63</v>
      </c>
      <c r="AA11">
        <v>3280.8334366795871</v>
      </c>
      <c r="AC11" s="27"/>
    </row>
    <row r="12" spans="1:29" x14ac:dyDescent="0.25">
      <c r="A12" s="5">
        <v>8</v>
      </c>
      <c r="B12" s="5">
        <v>0</v>
      </c>
      <c r="C12" s="2">
        <v>45</v>
      </c>
      <c r="D12" s="2" t="s">
        <v>13</v>
      </c>
      <c r="E12" s="2">
        <v>33</v>
      </c>
      <c r="F12" s="2">
        <v>45</v>
      </c>
      <c r="G12" s="2">
        <v>141</v>
      </c>
      <c r="H12" s="2" t="s">
        <v>15</v>
      </c>
      <c r="I12" s="2">
        <v>8</v>
      </c>
      <c r="J12" s="2">
        <v>51</v>
      </c>
      <c r="K12" s="14">
        <f t="shared" si="0"/>
        <v>-45.5625</v>
      </c>
      <c r="L12" s="14">
        <f t="shared" si="1"/>
        <v>-141.14749999999998</v>
      </c>
      <c r="M12" s="14">
        <v>-3483541</v>
      </c>
      <c r="N12" s="14">
        <v>-2806099</v>
      </c>
      <c r="O12" s="14">
        <f t="shared" si="3"/>
        <v>0</v>
      </c>
      <c r="P12" s="14">
        <f t="shared" si="4"/>
        <v>13494</v>
      </c>
      <c r="Q12" s="14">
        <f t="shared" si="5"/>
        <v>7712</v>
      </c>
      <c r="R12" s="14">
        <f t="shared" si="6"/>
        <v>-9163</v>
      </c>
      <c r="S12" s="14">
        <f t="shared" si="2"/>
        <v>18042.271170781132</v>
      </c>
      <c r="T12" s="14">
        <f>SUM(S4:S12)</f>
        <v>17893662.795540206</v>
      </c>
      <c r="U12" s="5" t="s">
        <v>23</v>
      </c>
      <c r="Z12" t="s">
        <v>57</v>
      </c>
      <c r="AA12">
        <v>0.62137119223733395</v>
      </c>
      <c r="AC12" s="25"/>
    </row>
    <row r="13" spans="1:29" x14ac:dyDescent="0.25">
      <c r="T13" s="3"/>
    </row>
    <row r="14" spans="1:29" x14ac:dyDescent="0.25">
      <c r="Z14" t="s">
        <v>64</v>
      </c>
      <c r="AA14">
        <v>1609.3440000000001</v>
      </c>
      <c r="AC14" s="27"/>
    </row>
    <row r="15" spans="1:29" ht="15.75" x14ac:dyDescent="0.25">
      <c r="A15" s="28" t="s">
        <v>31</v>
      </c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Z15" t="s">
        <v>65</v>
      </c>
      <c r="AA15">
        <v>5279.9983104005405</v>
      </c>
      <c r="AC15" s="27"/>
    </row>
    <row r="16" spans="1:29" ht="15" customHeight="1" x14ac:dyDescent="0.25">
      <c r="A16" s="15" t="s">
        <v>6</v>
      </c>
      <c r="B16" s="16"/>
      <c r="C16" s="15" t="s">
        <v>27</v>
      </c>
      <c r="D16" s="15" t="s">
        <v>28</v>
      </c>
      <c r="E16" s="15" t="s">
        <v>29</v>
      </c>
      <c r="F16" s="17" t="s">
        <v>30</v>
      </c>
      <c r="G16" s="16"/>
      <c r="H16" s="15" t="s">
        <v>42</v>
      </c>
      <c r="I16" s="15" t="s">
        <v>43</v>
      </c>
      <c r="J16" s="15" t="s">
        <v>44</v>
      </c>
      <c r="K16" s="17" t="s">
        <v>45</v>
      </c>
      <c r="L16" s="16"/>
      <c r="M16" s="15" t="s">
        <v>32</v>
      </c>
      <c r="N16" s="15" t="s">
        <v>33</v>
      </c>
      <c r="O16" s="15" t="s">
        <v>38</v>
      </c>
      <c r="P16" s="17" t="s">
        <v>37</v>
      </c>
      <c r="Q16" s="16"/>
      <c r="R16" s="17" t="s">
        <v>35</v>
      </c>
      <c r="S16" s="17" t="s">
        <v>36</v>
      </c>
      <c r="T16" s="15" t="s">
        <v>34</v>
      </c>
      <c r="U16" s="17" t="s">
        <v>39</v>
      </c>
      <c r="V16" s="16"/>
      <c r="W16" s="29" t="s">
        <v>40</v>
      </c>
      <c r="X16" s="29"/>
      <c r="Z16" t="s">
        <v>56</v>
      </c>
      <c r="AA16">
        <v>1.6093440000000001</v>
      </c>
    </row>
    <row r="17" spans="1:25" ht="15.75" customHeight="1" x14ac:dyDescent="0.25">
      <c r="A17" s="5">
        <v>0</v>
      </c>
      <c r="B17" s="1"/>
      <c r="C17" s="21">
        <f t="shared" ref="C17:C25" si="7">M4</f>
        <v>1698336</v>
      </c>
      <c r="D17" s="21">
        <f t="shared" ref="D17:D25" si="8">N4</f>
        <v>-6147953</v>
      </c>
      <c r="E17" s="21">
        <f t="shared" ref="E17:E25" si="9">O4</f>
        <v>91</v>
      </c>
      <c r="F17" s="21">
        <f t="shared" ref="F17:F25" si="10">S4</f>
        <v>0</v>
      </c>
      <c r="G17" s="1"/>
      <c r="H17" s="21">
        <f>C17*$AA$3</f>
        <v>1698.336</v>
      </c>
      <c r="I17" s="21">
        <f t="shared" ref="I17:K17" si="11">D17*$AA$3</f>
        <v>-6147.9530000000004</v>
      </c>
      <c r="J17" s="21">
        <f t="shared" si="11"/>
        <v>9.0999999999999998E-2</v>
      </c>
      <c r="K17" s="21">
        <f t="shared" si="11"/>
        <v>0</v>
      </c>
      <c r="L17" s="1"/>
      <c r="M17" s="21">
        <f>C17*$AA$2</f>
        <v>5571957.5355166635</v>
      </c>
      <c r="N17" s="21">
        <f t="shared" ref="N17:P17" si="12">D17*$AA$2</f>
        <v>-20170409.769534577</v>
      </c>
      <c r="O17" s="21">
        <f t="shared" si="12"/>
        <v>298.5558427378424</v>
      </c>
      <c r="P17" s="21">
        <f t="shared" si="12"/>
        <v>0</v>
      </c>
      <c r="Q17" s="22"/>
      <c r="R17" s="21">
        <f>C17*$AA$4</f>
        <v>1055.2970651395847</v>
      </c>
      <c r="S17" s="21">
        <f t="shared" ref="S17:U17" si="13">D17*$AA$4</f>
        <v>-3820.1608854290939</v>
      </c>
      <c r="T17" s="21">
        <f t="shared" si="13"/>
        <v>5.6544778493597389E-2</v>
      </c>
      <c r="U17" s="21">
        <f t="shared" si="13"/>
        <v>0</v>
      </c>
      <c r="V17" s="22"/>
      <c r="W17" s="23" t="s">
        <v>41</v>
      </c>
      <c r="X17" s="21">
        <f>SUM(F17:F25)</f>
        <v>17893662.795540206</v>
      </c>
    </row>
    <row r="18" spans="1:25" x14ac:dyDescent="0.25">
      <c r="A18" s="5">
        <v>1</v>
      </c>
      <c r="B18" s="1"/>
      <c r="C18" s="21">
        <f t="shared" si="7"/>
        <v>1927176</v>
      </c>
      <c r="D18" s="21">
        <f t="shared" si="8"/>
        <v>-6134094</v>
      </c>
      <c r="E18" s="21">
        <f t="shared" si="9"/>
        <v>51610</v>
      </c>
      <c r="F18" s="21">
        <f t="shared" si="10"/>
        <v>234976.64743969773</v>
      </c>
      <c r="G18" s="1"/>
      <c r="H18" s="21">
        <f t="shared" ref="H18:H25" si="14">C18*$AA$3</f>
        <v>1927.1759999999999</v>
      </c>
      <c r="I18" s="21">
        <f t="shared" ref="I18:I25" si="15">D18*$AA$3</f>
        <v>-6134.0940000000001</v>
      </c>
      <c r="J18" s="21">
        <f t="shared" ref="J18:J25" si="16">E18*$AA$3</f>
        <v>51.61</v>
      </c>
      <c r="K18" s="21">
        <f t="shared" ref="K18:K25" si="17">F18*$AA$3</f>
        <v>234.97664743969773</v>
      </c>
      <c r="L18" s="1"/>
      <c r="M18" s="21">
        <f t="shared" ref="M18:M25" si="18">C18*$AA$2</f>
        <v>6322743.4591664197</v>
      </c>
      <c r="N18" s="21">
        <f t="shared" ref="N18:N25" si="19">D18*$AA$2</f>
        <v>-20124940.698935635</v>
      </c>
      <c r="O18" s="21">
        <f t="shared" ref="O18:O25" si="20">E18*$AA$2</f>
        <v>169323.81366703348</v>
      </c>
      <c r="P18" s="21">
        <f t="shared" ref="P18:P25" si="21">F18*$AA$2</f>
        <v>770919.2417590312</v>
      </c>
      <c r="Q18" s="22"/>
      <c r="R18" s="21">
        <f t="shared" ref="R18:R25" si="22">C18*$AA$4</f>
        <v>1197.4916487711762</v>
      </c>
      <c r="S18" s="21">
        <f t="shared" ref="S18:S25" si="23">D18*$AA$4</f>
        <v>-3811.5493020758768</v>
      </c>
      <c r="T18" s="21">
        <f t="shared" ref="T18:T25" si="24">E18*$AA$4</f>
        <v>32.068967231368802</v>
      </c>
      <c r="U18" s="21">
        <f t="shared" ref="U18:U25" si="25">F18*$AA$4</f>
        <v>146.00771956753667</v>
      </c>
      <c r="V18" s="22"/>
      <c r="W18" s="23" t="s">
        <v>3</v>
      </c>
      <c r="X18" s="21">
        <f>SUM(K17:K25)</f>
        <v>17893.662795540207</v>
      </c>
    </row>
    <row r="19" spans="1:25" x14ac:dyDescent="0.25">
      <c r="A19" s="5">
        <v>2</v>
      </c>
      <c r="B19" s="1"/>
      <c r="C19" s="21">
        <f t="shared" si="7"/>
        <v>3525156</v>
      </c>
      <c r="D19" s="21">
        <f t="shared" si="8"/>
        <v>-5471952</v>
      </c>
      <c r="E19" s="21">
        <f t="shared" si="9"/>
        <v>132371</v>
      </c>
      <c r="F19" s="21">
        <f t="shared" si="10"/>
        <v>1731616.1375099851</v>
      </c>
      <c r="G19" s="19"/>
      <c r="H19" s="21">
        <f t="shared" si="14"/>
        <v>3525.1559999999999</v>
      </c>
      <c r="I19" s="21">
        <f t="shared" si="15"/>
        <v>-5471.9520000000002</v>
      </c>
      <c r="J19" s="21">
        <f t="shared" si="16"/>
        <v>132.37100000000001</v>
      </c>
      <c r="K19" s="21">
        <f t="shared" si="17"/>
        <v>1731.6161375099853</v>
      </c>
      <c r="L19" s="1"/>
      <c r="M19" s="21">
        <f t="shared" si="18"/>
        <v>11565449.674311666</v>
      </c>
      <c r="N19" s="21">
        <f t="shared" si="19"/>
        <v>-17952563.085505739</v>
      </c>
      <c r="O19" s="21">
        <f t="shared" si="20"/>
        <v>434287.2028467136</v>
      </c>
      <c r="P19" s="21">
        <f t="shared" si="21"/>
        <v>5681144.1234367173</v>
      </c>
      <c r="Q19" s="22"/>
      <c r="R19" s="21">
        <f t="shared" si="22"/>
        <v>2190.4303865425909</v>
      </c>
      <c r="S19" s="21">
        <f t="shared" si="23"/>
        <v>-3400.1133381054638</v>
      </c>
      <c r="T19" s="21">
        <f t="shared" si="24"/>
        <v>82.251526087648131</v>
      </c>
      <c r="U19" s="21">
        <f t="shared" si="25"/>
        <v>1075.9763838619865</v>
      </c>
      <c r="V19" s="22"/>
      <c r="W19" s="23" t="s">
        <v>4</v>
      </c>
      <c r="X19" s="21">
        <f>SUM(P17:P25)</f>
        <v>58706127.204277851</v>
      </c>
    </row>
    <row r="20" spans="1:25" x14ac:dyDescent="0.25">
      <c r="A20" s="5">
        <v>3</v>
      </c>
      <c r="B20" s="1"/>
      <c r="C20" s="21">
        <f t="shared" si="7"/>
        <v>-4634768</v>
      </c>
      <c r="D20" s="21">
        <f t="shared" si="8"/>
        <v>457099</v>
      </c>
      <c r="E20" s="21">
        <f t="shared" si="9"/>
        <v>173051</v>
      </c>
      <c r="F20" s="21">
        <f t="shared" si="10"/>
        <v>10086607.968429079</v>
      </c>
      <c r="G20" s="1"/>
      <c r="H20" s="21">
        <f t="shared" si="14"/>
        <v>-4634.768</v>
      </c>
      <c r="I20" s="21">
        <f t="shared" si="15"/>
        <v>457.09899999999999</v>
      </c>
      <c r="J20" s="21">
        <f t="shared" si="16"/>
        <v>173.05100000000002</v>
      </c>
      <c r="K20" s="21">
        <f t="shared" si="17"/>
        <v>10086.60796842908</v>
      </c>
      <c r="L20" s="1"/>
      <c r="M20" s="21">
        <f t="shared" si="18"/>
        <v>-15205901.825652577</v>
      </c>
      <c r="N20" s="21">
        <f t="shared" si="19"/>
        <v>1499665.6830728026</v>
      </c>
      <c r="O20" s="21">
        <f t="shared" si="20"/>
        <v>567751.50705083925</v>
      </c>
      <c r="P20" s="21">
        <f t="shared" si="21"/>
        <v>33092480.685500883</v>
      </c>
      <c r="Q20" s="22"/>
      <c r="R20" s="21">
        <f t="shared" si="22"/>
        <v>-2879.9113179034434</v>
      </c>
      <c r="S20" s="21">
        <f t="shared" si="23"/>
        <v>284.02815060049312</v>
      </c>
      <c r="T20" s="21">
        <f t="shared" si="24"/>
        <v>107.52890618786287</v>
      </c>
      <c r="U20" s="21">
        <f t="shared" si="25"/>
        <v>6267.5276189733695</v>
      </c>
      <c r="V20" s="22"/>
      <c r="W20" s="23" t="s">
        <v>5</v>
      </c>
      <c r="X20" s="21">
        <f>SUM(U17:U25)</f>
        <v>11118.606584757645</v>
      </c>
    </row>
    <row r="21" spans="1:25" x14ac:dyDescent="0.25">
      <c r="A21" s="5">
        <v>4</v>
      </c>
      <c r="B21" s="1"/>
      <c r="C21" s="21">
        <f t="shared" si="7"/>
        <v>-6287169</v>
      </c>
      <c r="D21" s="21">
        <f t="shared" si="8"/>
        <v>161034</v>
      </c>
      <c r="E21" s="21">
        <f t="shared" si="9"/>
        <v>157118</v>
      </c>
      <c r="F21" s="21">
        <f t="shared" si="10"/>
        <v>1678790.460276386</v>
      </c>
      <c r="G21" s="1"/>
      <c r="H21" s="21">
        <f t="shared" si="14"/>
        <v>-6287.1689999999999</v>
      </c>
      <c r="I21" s="21">
        <f t="shared" si="15"/>
        <v>161.03399999999999</v>
      </c>
      <c r="J21" s="21">
        <f t="shared" si="16"/>
        <v>157.11799999999999</v>
      </c>
      <c r="K21" s="21">
        <f t="shared" si="17"/>
        <v>1678.7904602763861</v>
      </c>
      <c r="L21" s="1"/>
      <c r="M21" s="21">
        <f t="shared" si="18"/>
        <v>-20627154.277255364</v>
      </c>
      <c r="N21" s="21">
        <f t="shared" si="19"/>
        <v>528325.73164226057</v>
      </c>
      <c r="O21" s="21">
        <f t="shared" si="20"/>
        <v>515477.98790422338</v>
      </c>
      <c r="P21" s="21">
        <f t="shared" si="21"/>
        <v>5507831.8752534809</v>
      </c>
      <c r="Q21" s="22"/>
      <c r="R21" s="21">
        <f t="shared" si="22"/>
        <v>-3906.6656973276063</v>
      </c>
      <c r="S21" s="21">
        <f t="shared" si="23"/>
        <v>100.06188857074683</v>
      </c>
      <c r="T21" s="21">
        <f t="shared" si="24"/>
        <v>97.62859898194543</v>
      </c>
      <c r="U21" s="21">
        <f t="shared" si="25"/>
        <v>1043.1520298186006</v>
      </c>
      <c r="V21" s="22"/>
      <c r="W21" s="22"/>
      <c r="X21" s="22"/>
    </row>
    <row r="22" spans="1:25" x14ac:dyDescent="0.25">
      <c r="A22" s="5">
        <v>5</v>
      </c>
      <c r="B22" s="1"/>
      <c r="C22" s="21">
        <f t="shared" si="7"/>
        <v>-5471278</v>
      </c>
      <c r="D22" s="21">
        <f t="shared" si="8"/>
        <v>-411456</v>
      </c>
      <c r="E22" s="21">
        <f t="shared" si="9"/>
        <v>101902</v>
      </c>
      <c r="F22" s="21">
        <f t="shared" si="10"/>
        <v>998234.30648169969</v>
      </c>
      <c r="G22" s="1"/>
      <c r="H22" s="21">
        <f t="shared" si="14"/>
        <v>-5471.2780000000002</v>
      </c>
      <c r="I22" s="21">
        <f t="shared" si="15"/>
        <v>-411.45600000000002</v>
      </c>
      <c r="J22" s="21">
        <f t="shared" si="16"/>
        <v>101.902</v>
      </c>
      <c r="K22" s="21">
        <f t="shared" si="17"/>
        <v>998.23430648169972</v>
      </c>
      <c r="L22" s="1"/>
      <c r="M22" s="21">
        <f t="shared" si="18"/>
        <v>-17950351.803769417</v>
      </c>
      <c r="N22" s="21">
        <f t="shared" si="19"/>
        <v>-1349918.6025224361</v>
      </c>
      <c r="O22" s="21">
        <f t="shared" si="20"/>
        <v>334323.4888645233</v>
      </c>
      <c r="P22" s="21">
        <f t="shared" si="21"/>
        <v>3275040.4903458189</v>
      </c>
      <c r="Q22" s="22"/>
      <c r="R22" s="21">
        <f t="shared" si="22"/>
        <v>-3399.694533921896</v>
      </c>
      <c r="S22" s="21">
        <f t="shared" si="23"/>
        <v>-255.66690527320446</v>
      </c>
      <c r="T22" s="21">
        <f t="shared" si="24"/>
        <v>63.318967231368802</v>
      </c>
      <c r="U22" s="21">
        <f t="shared" si="25"/>
        <v>620.27404115074194</v>
      </c>
      <c r="V22" s="22"/>
      <c r="W22" s="22"/>
      <c r="X22" s="22"/>
    </row>
    <row r="23" spans="1:25" x14ac:dyDescent="0.25">
      <c r="A23" s="5">
        <v>6</v>
      </c>
      <c r="B23" s="1"/>
      <c r="C23" s="21">
        <f t="shared" si="7"/>
        <v>-4420170</v>
      </c>
      <c r="D23" s="21">
        <f t="shared" si="8"/>
        <v>-2045881</v>
      </c>
      <c r="E23" s="21">
        <f t="shared" si="9"/>
        <v>45488</v>
      </c>
      <c r="F23" s="21">
        <f t="shared" si="10"/>
        <v>1944056.4929252956</v>
      </c>
      <c r="G23" s="1"/>
      <c r="H23" s="21">
        <f t="shared" si="14"/>
        <v>-4420.17</v>
      </c>
      <c r="I23" s="21">
        <f t="shared" si="15"/>
        <v>-2045.8810000000001</v>
      </c>
      <c r="J23" s="21">
        <f t="shared" si="16"/>
        <v>45.488</v>
      </c>
      <c r="K23" s="21">
        <f t="shared" si="17"/>
        <v>1944.0564929252957</v>
      </c>
      <c r="L23" s="1"/>
      <c r="M23" s="21">
        <f t="shared" si="18"/>
        <v>-14501841.531808009</v>
      </c>
      <c r="N23" s="21">
        <f t="shared" si="19"/>
        <v>-6712194.7922674706</v>
      </c>
      <c r="O23" s="21">
        <f t="shared" si="20"/>
        <v>149238.55136768107</v>
      </c>
      <c r="P23" s="21">
        <f t="shared" si="21"/>
        <v>6378125.5447833631</v>
      </c>
      <c r="Q23" s="22"/>
      <c r="R23" s="21">
        <f t="shared" si="22"/>
        <v>-2746.5663027916962</v>
      </c>
      <c r="S23" s="21">
        <f t="shared" si="23"/>
        <v>-1271.251516145709</v>
      </c>
      <c r="T23" s="21">
        <f t="shared" si="24"/>
        <v>28.264932792491845</v>
      </c>
      <c r="U23" s="21">
        <f t="shared" si="25"/>
        <v>1207.980700785721</v>
      </c>
      <c r="V23" s="22"/>
      <c r="W23" s="22"/>
      <c r="X23" s="22"/>
    </row>
    <row r="24" spans="1:25" x14ac:dyDescent="0.25">
      <c r="A24" s="5">
        <v>7</v>
      </c>
      <c r="B24" s="1"/>
      <c r="C24" s="21">
        <f t="shared" si="7"/>
        <v>-3497035</v>
      </c>
      <c r="D24" s="21">
        <f t="shared" si="8"/>
        <v>-2813811</v>
      </c>
      <c r="E24" s="21">
        <f t="shared" si="9"/>
        <v>9163</v>
      </c>
      <c r="F24" s="21">
        <f t="shared" si="10"/>
        <v>1201338.5113072835</v>
      </c>
      <c r="G24" s="1"/>
      <c r="H24" s="21">
        <f t="shared" si="14"/>
        <v>-3497.0349999999999</v>
      </c>
      <c r="I24" s="21">
        <f t="shared" si="15"/>
        <v>-2813.8110000000001</v>
      </c>
      <c r="J24" s="21">
        <f t="shared" si="16"/>
        <v>9.1630000000000003</v>
      </c>
      <c r="K24" s="21">
        <f t="shared" si="17"/>
        <v>1201.3385113072836</v>
      </c>
      <c r="L24" s="1"/>
      <c r="M24" s="21">
        <f t="shared" si="18"/>
        <v>-11473189.357238799</v>
      </c>
      <c r="N24" s="21">
        <f t="shared" si="19"/>
        <v>-9231645.2132968251</v>
      </c>
      <c r="O24" s="21">
        <f t="shared" si="20"/>
        <v>30062.276780295055</v>
      </c>
      <c r="P24" s="21">
        <f t="shared" si="21"/>
        <v>3941391.556667814</v>
      </c>
      <c r="Q24" s="22"/>
      <c r="R24" s="21">
        <f t="shared" si="22"/>
        <v>-2172.956807245685</v>
      </c>
      <c r="S24" s="21">
        <f t="shared" si="23"/>
        <v>-1748.4210958005249</v>
      </c>
      <c r="T24" s="21">
        <f t="shared" si="24"/>
        <v>5.6936242344706907</v>
      </c>
      <c r="U24" s="21">
        <f t="shared" si="25"/>
        <v>746.47714305163061</v>
      </c>
      <c r="V24" s="22"/>
      <c r="W24" s="22"/>
      <c r="X24" s="22"/>
    </row>
    <row r="25" spans="1:25" x14ac:dyDescent="0.25">
      <c r="A25" s="5">
        <v>8</v>
      </c>
      <c r="B25" s="1"/>
      <c r="C25" s="21">
        <f t="shared" si="7"/>
        <v>-3483541</v>
      </c>
      <c r="D25" s="21">
        <f t="shared" si="8"/>
        <v>-2806099</v>
      </c>
      <c r="E25" s="21">
        <f t="shared" si="9"/>
        <v>0</v>
      </c>
      <c r="F25" s="21">
        <f t="shared" si="10"/>
        <v>18042.271170781132</v>
      </c>
      <c r="G25" s="1"/>
      <c r="H25" s="21">
        <f t="shared" si="14"/>
        <v>-3483.5410000000002</v>
      </c>
      <c r="I25" s="21">
        <f t="shared" si="15"/>
        <v>-2806.0990000000002</v>
      </c>
      <c r="J25" s="21">
        <f t="shared" si="16"/>
        <v>0</v>
      </c>
      <c r="K25" s="21">
        <f t="shared" si="17"/>
        <v>18.042271170781131</v>
      </c>
      <c r="L25" s="1"/>
      <c r="M25" s="21">
        <f t="shared" si="18"/>
        <v>-11428917.790844245</v>
      </c>
      <c r="N25" s="21">
        <f t="shared" si="19"/>
        <v>-9206343.4258331526</v>
      </c>
      <c r="O25" s="21">
        <f t="shared" si="20"/>
        <v>0</v>
      </c>
      <c r="P25" s="21">
        <f t="shared" si="21"/>
        <v>59193.686530738902</v>
      </c>
      <c r="Q25" s="22"/>
      <c r="R25" s="21">
        <f t="shared" si="22"/>
        <v>-2164.5720243776345</v>
      </c>
      <c r="S25" s="21">
        <f t="shared" si="23"/>
        <v>-1743.6290811659906</v>
      </c>
      <c r="T25" s="21">
        <f t="shared" si="24"/>
        <v>0</v>
      </c>
      <c r="U25" s="21">
        <f t="shared" si="25"/>
        <v>11.21094754805755</v>
      </c>
      <c r="V25" s="22"/>
      <c r="W25" s="22"/>
      <c r="X25" s="22"/>
    </row>
    <row r="28" spans="1:25" ht="15.75" x14ac:dyDescent="0.25">
      <c r="A28" s="28" t="s">
        <v>46</v>
      </c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</row>
    <row r="29" spans="1:25" x14ac:dyDescent="0.25">
      <c r="A29" s="15" t="s">
        <v>6</v>
      </c>
      <c r="B29" s="16"/>
      <c r="C29" s="15" t="s">
        <v>32</v>
      </c>
      <c r="D29" s="15" t="s">
        <v>33</v>
      </c>
      <c r="E29" s="15" t="s">
        <v>38</v>
      </c>
      <c r="F29" s="18" t="s">
        <v>37</v>
      </c>
      <c r="G29" s="16"/>
      <c r="H29" s="15" t="s">
        <v>27</v>
      </c>
      <c r="I29" s="15" t="s">
        <v>28</v>
      </c>
      <c r="J29" s="15" t="s">
        <v>29</v>
      </c>
      <c r="K29" s="18" t="s">
        <v>30</v>
      </c>
      <c r="L29" s="16"/>
      <c r="M29" s="15" t="s">
        <v>42</v>
      </c>
      <c r="N29" s="15" t="s">
        <v>43</v>
      </c>
      <c r="O29" s="15" t="s">
        <v>44</v>
      </c>
      <c r="P29" s="18" t="s">
        <v>45</v>
      </c>
      <c r="Q29" s="16"/>
      <c r="R29" s="18" t="s">
        <v>35</v>
      </c>
      <c r="S29" s="18" t="s">
        <v>36</v>
      </c>
      <c r="T29" s="15" t="s">
        <v>34</v>
      </c>
      <c r="U29" s="18" t="s">
        <v>39</v>
      </c>
      <c r="V29" s="16"/>
      <c r="W29" s="29" t="s">
        <v>40</v>
      </c>
      <c r="X29" s="29"/>
    </row>
    <row r="30" spans="1:25" ht="15" customHeight="1" x14ac:dyDescent="0.25">
      <c r="A30" s="5">
        <v>0</v>
      </c>
      <c r="B30" s="1"/>
      <c r="C30" s="21">
        <v>5571957.5355166635</v>
      </c>
      <c r="D30" s="21">
        <v>-20170409.769534577</v>
      </c>
      <c r="E30" s="21">
        <v>298.5558427378424</v>
      </c>
      <c r="F30" s="21">
        <v>0</v>
      </c>
      <c r="G30" s="1"/>
      <c r="H30" s="21">
        <f>C30*0.3048006</f>
        <v>1698336.0000000002</v>
      </c>
      <c r="I30" s="21">
        <f>D30*$AA$6</f>
        <v>-6147953</v>
      </c>
      <c r="J30" s="21">
        <f t="shared" ref="I30:K30" si="26">E30*$AA$6</f>
        <v>91</v>
      </c>
      <c r="K30" s="21">
        <f t="shared" si="26"/>
        <v>0</v>
      </c>
      <c r="L30" s="1"/>
      <c r="M30" s="21">
        <f>C30*$AA$7</f>
        <v>1698.3360000000002</v>
      </c>
      <c r="N30" s="21">
        <f t="shared" ref="N30:P30" si="27">D30*$AA$7</f>
        <v>-6147.9530000000004</v>
      </c>
      <c r="O30" s="21">
        <f t="shared" si="27"/>
        <v>9.0999999999999998E-2</v>
      </c>
      <c r="P30" s="21">
        <f t="shared" si="27"/>
        <v>0</v>
      </c>
      <c r="Q30" s="1"/>
      <c r="R30" s="21">
        <f>C30*$AA$8</f>
        <v>1055.295325481643</v>
      </c>
      <c r="S30" s="21">
        <f t="shared" ref="S30:U30" si="28">D30*$AA$8</f>
        <v>-3820.154587891232</v>
      </c>
      <c r="T30" s="21">
        <f t="shared" si="28"/>
        <v>5.6544685279490928E-2</v>
      </c>
      <c r="U30" s="21">
        <f t="shared" si="28"/>
        <v>0</v>
      </c>
      <c r="V30" s="1"/>
      <c r="W30" s="15" t="s">
        <v>4</v>
      </c>
      <c r="X30" s="21">
        <f>SUM(F30:F38)</f>
        <v>58706127.204277851</v>
      </c>
      <c r="Y30" s="35"/>
    </row>
    <row r="31" spans="1:25" x14ac:dyDescent="0.25">
      <c r="A31" s="5">
        <v>1</v>
      </c>
      <c r="B31" s="1"/>
      <c r="C31" s="21">
        <v>6322743.4591664197</v>
      </c>
      <c r="D31" s="21">
        <v>-20124940.698935635</v>
      </c>
      <c r="E31" s="21">
        <v>169323.81366703348</v>
      </c>
      <c r="F31" s="21">
        <v>770919.2417590312</v>
      </c>
      <c r="G31" s="1"/>
      <c r="H31" s="21">
        <f t="shared" ref="H31:H38" si="29">C31*$AA$6</f>
        <v>1927176</v>
      </c>
      <c r="I31" s="21">
        <f t="shared" ref="I31:I38" si="30">D31*$AA$6</f>
        <v>-6134094.0000000009</v>
      </c>
      <c r="J31" s="21">
        <f t="shared" ref="J31:J38" si="31">E31*$AA$6</f>
        <v>51610</v>
      </c>
      <c r="K31" s="21">
        <f t="shared" ref="K31:K38" si="32">F31*$AA$6</f>
        <v>234976.64743969776</v>
      </c>
      <c r="L31" s="1"/>
      <c r="M31" s="21">
        <f t="shared" ref="M31:M38" si="33">C31*$AA$7</f>
        <v>1927.1759999999999</v>
      </c>
      <c r="N31" s="21">
        <f t="shared" ref="N31:N38" si="34">D31*$AA$7</f>
        <v>-6134.0940000000001</v>
      </c>
      <c r="O31" s="21">
        <f t="shared" ref="O31:O38" si="35">E31*$AA$7</f>
        <v>51.61</v>
      </c>
      <c r="P31" s="21">
        <f t="shared" ref="P31:P38" si="36">F31*$AA$7</f>
        <v>234.97664743969773</v>
      </c>
      <c r="Q31" s="1"/>
      <c r="R31" s="21">
        <f t="shared" ref="R31:R38" si="37">C31*$AA$8</f>
        <v>1197.4896747053649</v>
      </c>
      <c r="S31" s="21">
        <f t="shared" ref="S31:S38" si="38">D31*$AA$8</f>
        <v>-3811.5430187342158</v>
      </c>
      <c r="T31" s="21">
        <f t="shared" ref="T31:T38" si="39">E31*$AA$8</f>
        <v>32.068914365654138</v>
      </c>
      <c r="U31" s="21">
        <f t="shared" ref="U31:U38" si="40">F31*$AA$8</f>
        <v>146.00747887370997</v>
      </c>
      <c r="V31" s="1"/>
      <c r="W31" s="15" t="s">
        <v>41</v>
      </c>
      <c r="X31" s="21">
        <f>SUM(K30:K38)</f>
        <v>17893662.795540206</v>
      </c>
      <c r="Y31" s="35"/>
    </row>
    <row r="32" spans="1:25" x14ac:dyDescent="0.25">
      <c r="A32" s="5">
        <v>2</v>
      </c>
      <c r="B32" s="1"/>
      <c r="C32" s="21">
        <v>11565449.674311666</v>
      </c>
      <c r="D32" s="21">
        <v>-17952563.085505739</v>
      </c>
      <c r="E32" s="21">
        <v>434287.2028467136</v>
      </c>
      <c r="F32" s="21">
        <v>5681144.1234367173</v>
      </c>
      <c r="G32" s="1"/>
      <c r="H32" s="21">
        <f t="shared" si="29"/>
        <v>3525156</v>
      </c>
      <c r="I32" s="21">
        <f t="shared" si="30"/>
        <v>-5471952</v>
      </c>
      <c r="J32" s="21">
        <f t="shared" si="31"/>
        <v>132371</v>
      </c>
      <c r="K32" s="21">
        <f t="shared" si="32"/>
        <v>1731616.1375099854</v>
      </c>
      <c r="L32" s="1"/>
      <c r="M32" s="21">
        <f t="shared" si="33"/>
        <v>3525.1559999999999</v>
      </c>
      <c r="N32" s="21">
        <f t="shared" si="34"/>
        <v>-5471.9520000000002</v>
      </c>
      <c r="O32" s="21">
        <f t="shared" si="35"/>
        <v>132.37100000000001</v>
      </c>
      <c r="P32" s="21">
        <f t="shared" si="36"/>
        <v>1731.6161375099853</v>
      </c>
      <c r="Q32" s="1"/>
      <c r="R32" s="21">
        <f t="shared" si="37"/>
        <v>2190.4267756165837</v>
      </c>
      <c r="S32" s="21">
        <f t="shared" si="38"/>
        <v>-3400.1077330162739</v>
      </c>
      <c r="T32" s="21">
        <f t="shared" si="39"/>
        <v>82.251390495950474</v>
      </c>
      <c r="U32" s="21">
        <f t="shared" si="40"/>
        <v>1075.9746101141736</v>
      </c>
      <c r="V32" s="1"/>
      <c r="W32" s="15" t="s">
        <v>53</v>
      </c>
      <c r="X32" s="21">
        <f>SUM(P30:P38)</f>
        <v>17893.662795540207</v>
      </c>
    </row>
    <row r="33" spans="1:24" x14ac:dyDescent="0.25">
      <c r="A33" s="5">
        <v>3</v>
      </c>
      <c r="B33" s="1"/>
      <c r="C33" s="21">
        <v>-15205901.825652577</v>
      </c>
      <c r="D33" s="21">
        <v>1499665.6830728026</v>
      </c>
      <c r="E33" s="21">
        <v>567751.50705083925</v>
      </c>
      <c r="F33" s="21">
        <v>33092480.685500883</v>
      </c>
      <c r="G33" s="1"/>
      <c r="H33" s="21">
        <f t="shared" si="29"/>
        <v>-4634768.0000000009</v>
      </c>
      <c r="I33" s="21">
        <f t="shared" si="30"/>
        <v>457099.00000000006</v>
      </c>
      <c r="J33" s="21">
        <f t="shared" si="31"/>
        <v>173051.00000000003</v>
      </c>
      <c r="K33" s="21">
        <f t="shared" si="32"/>
        <v>10086607.968429079</v>
      </c>
      <c r="L33" s="1"/>
      <c r="M33" s="21">
        <f t="shared" si="33"/>
        <v>-4634.768</v>
      </c>
      <c r="N33" s="21">
        <f t="shared" si="34"/>
        <v>457.09900000000005</v>
      </c>
      <c r="O33" s="21">
        <f t="shared" si="35"/>
        <v>173.05100000000002</v>
      </c>
      <c r="P33" s="21">
        <f t="shared" si="36"/>
        <v>10086.60796842908</v>
      </c>
      <c r="Q33" s="1"/>
      <c r="R33" s="21">
        <f t="shared" si="37"/>
        <v>-2879.9065703676442</v>
      </c>
      <c r="S33" s="21">
        <f t="shared" si="38"/>
        <v>284.02768237989039</v>
      </c>
      <c r="T33" s="21">
        <f t="shared" si="39"/>
        <v>107.52872892638665</v>
      </c>
      <c r="U33" s="21">
        <f t="shared" si="40"/>
        <v>6267.5172869497546</v>
      </c>
      <c r="V33" s="1"/>
      <c r="W33" s="15" t="s">
        <v>5</v>
      </c>
      <c r="X33" s="21">
        <f>SUM(U30:U38)</f>
        <v>11118.588255726998</v>
      </c>
    </row>
    <row r="34" spans="1:24" x14ac:dyDescent="0.25">
      <c r="A34" s="5">
        <v>4</v>
      </c>
      <c r="B34" s="1"/>
      <c r="C34" s="21">
        <v>-20627154.277255364</v>
      </c>
      <c r="D34" s="21">
        <v>528325.73164226057</v>
      </c>
      <c r="E34" s="21">
        <v>515477.98790422338</v>
      </c>
      <c r="F34" s="21">
        <v>5507831.8752534809</v>
      </c>
      <c r="G34" s="1"/>
      <c r="H34" s="21">
        <f t="shared" si="29"/>
        <v>-6287169.0000000009</v>
      </c>
      <c r="I34" s="21">
        <f t="shared" si="30"/>
        <v>161034</v>
      </c>
      <c r="J34" s="21">
        <f t="shared" si="31"/>
        <v>157118.00000000003</v>
      </c>
      <c r="K34" s="21">
        <f t="shared" si="32"/>
        <v>1678790.460276386</v>
      </c>
      <c r="L34" s="1"/>
      <c r="M34" s="21">
        <f t="shared" si="33"/>
        <v>-6287.1690000000008</v>
      </c>
      <c r="N34" s="21">
        <f t="shared" si="34"/>
        <v>161.03399999999999</v>
      </c>
      <c r="O34" s="21">
        <f t="shared" si="35"/>
        <v>157.11800000000002</v>
      </c>
      <c r="P34" s="21">
        <f t="shared" si="36"/>
        <v>1678.7904602763861</v>
      </c>
      <c r="Q34" s="1"/>
      <c r="R34" s="21">
        <f t="shared" si="37"/>
        <v>-3906.6592571865026</v>
      </c>
      <c r="S34" s="21">
        <f t="shared" si="38"/>
        <v>100.0617236186543</v>
      </c>
      <c r="T34" s="21">
        <f t="shared" si="39"/>
        <v>97.628438041132483</v>
      </c>
      <c r="U34" s="21">
        <f t="shared" si="40"/>
        <v>1043.1503101817577</v>
      </c>
      <c r="V34" s="1"/>
      <c r="W34" s="1"/>
      <c r="X34" s="4"/>
    </row>
    <row r="35" spans="1:24" x14ac:dyDescent="0.25">
      <c r="A35" s="5">
        <v>5</v>
      </c>
      <c r="B35" s="1"/>
      <c r="C35" s="21">
        <v>-17950351.803769417</v>
      </c>
      <c r="D35" s="21">
        <v>-1349918.6025224361</v>
      </c>
      <c r="E35" s="21">
        <v>334323.4888645233</v>
      </c>
      <c r="F35" s="21">
        <v>3275040.4903458189</v>
      </c>
      <c r="G35" s="1"/>
      <c r="H35" s="21">
        <f t="shared" si="29"/>
        <v>-5471278</v>
      </c>
      <c r="I35" s="21">
        <f t="shared" si="30"/>
        <v>-411456</v>
      </c>
      <c r="J35" s="21">
        <f t="shared" si="31"/>
        <v>101902.00000000001</v>
      </c>
      <c r="K35" s="21">
        <f t="shared" si="32"/>
        <v>998234.30648169969</v>
      </c>
      <c r="L35" s="1"/>
      <c r="M35" s="21">
        <f t="shared" si="33"/>
        <v>-5471.2780000000002</v>
      </c>
      <c r="N35" s="21">
        <f t="shared" si="34"/>
        <v>-411.45599999999996</v>
      </c>
      <c r="O35" s="21">
        <f t="shared" si="35"/>
        <v>101.90200000000002</v>
      </c>
      <c r="P35" s="21">
        <f t="shared" si="36"/>
        <v>998.23430648169972</v>
      </c>
      <c r="Q35" s="1"/>
      <c r="R35" s="21">
        <f t="shared" si="37"/>
        <v>-3399.6889295231053</v>
      </c>
      <c r="S35" s="21">
        <f t="shared" si="38"/>
        <v>-255.66648380613427</v>
      </c>
      <c r="T35" s="21">
        <f t="shared" si="39"/>
        <v>63.318862850007527</v>
      </c>
      <c r="U35" s="21">
        <f t="shared" si="40"/>
        <v>620.27301862855609</v>
      </c>
      <c r="V35" s="1"/>
      <c r="W35" s="1"/>
      <c r="X35" s="1"/>
    </row>
    <row r="36" spans="1:24" x14ac:dyDescent="0.25">
      <c r="A36" s="5">
        <v>6</v>
      </c>
      <c r="B36" s="1"/>
      <c r="C36" s="21">
        <v>-14501841.531808009</v>
      </c>
      <c r="D36" s="21">
        <v>-6712194.7922674706</v>
      </c>
      <c r="E36" s="21">
        <v>149238.55136768107</v>
      </c>
      <c r="F36" s="21">
        <v>6378125.5447833631</v>
      </c>
      <c r="G36" s="1"/>
      <c r="H36" s="21">
        <f t="shared" si="29"/>
        <v>-4420170</v>
      </c>
      <c r="I36" s="21">
        <f t="shared" si="30"/>
        <v>-2045881.0000000002</v>
      </c>
      <c r="J36" s="21">
        <f t="shared" si="31"/>
        <v>45488.000000000007</v>
      </c>
      <c r="K36" s="21">
        <f t="shared" si="32"/>
        <v>1944056.4929252958</v>
      </c>
      <c r="L36" s="1"/>
      <c r="M36" s="21">
        <f t="shared" si="33"/>
        <v>-4420.17</v>
      </c>
      <c r="N36" s="21">
        <f t="shared" si="34"/>
        <v>-2045.8810000000003</v>
      </c>
      <c r="O36" s="21">
        <f t="shared" si="35"/>
        <v>45.488000000000007</v>
      </c>
      <c r="P36" s="21">
        <f t="shared" si="36"/>
        <v>1944.0564929252957</v>
      </c>
      <c r="Q36" s="1"/>
      <c r="R36" s="21">
        <f t="shared" si="37"/>
        <v>-2746.5617750752463</v>
      </c>
      <c r="S36" s="21">
        <f t="shared" si="38"/>
        <v>-1271.2494204867055</v>
      </c>
      <c r="T36" s="21">
        <f t="shared" si="39"/>
        <v>28.26488619773059</v>
      </c>
      <c r="U36" s="21">
        <f t="shared" si="40"/>
        <v>1207.9787094287003</v>
      </c>
      <c r="V36" s="1"/>
      <c r="W36" s="1"/>
      <c r="X36" s="1"/>
    </row>
    <row r="37" spans="1:24" x14ac:dyDescent="0.25">
      <c r="A37" s="5">
        <v>7</v>
      </c>
      <c r="B37" s="1"/>
      <c r="C37" s="21">
        <v>-11473189.357238799</v>
      </c>
      <c r="D37" s="21">
        <v>-9231645.2132968251</v>
      </c>
      <c r="E37" s="21">
        <v>30062.276780295055</v>
      </c>
      <c r="F37" s="21">
        <v>3941391.556667814</v>
      </c>
      <c r="G37" s="1"/>
      <c r="H37" s="21">
        <f t="shared" si="29"/>
        <v>-3497035</v>
      </c>
      <c r="I37" s="21">
        <f t="shared" si="30"/>
        <v>-2813811</v>
      </c>
      <c r="J37" s="21">
        <f t="shared" si="31"/>
        <v>9163</v>
      </c>
      <c r="K37" s="21">
        <f t="shared" si="32"/>
        <v>1201338.5113072835</v>
      </c>
      <c r="L37" s="1"/>
      <c r="M37" s="21">
        <f t="shared" si="33"/>
        <v>-3497.0349999999999</v>
      </c>
      <c r="N37" s="21">
        <f t="shared" si="34"/>
        <v>-2813.8110000000001</v>
      </c>
      <c r="O37" s="21">
        <f t="shared" si="35"/>
        <v>9.1630000000000003</v>
      </c>
      <c r="P37" s="21">
        <f t="shared" si="36"/>
        <v>1201.3385113072836</v>
      </c>
      <c r="Q37" s="1"/>
      <c r="R37" s="21">
        <f t="shared" si="37"/>
        <v>-2172.9532251248852</v>
      </c>
      <c r="S37" s="21">
        <f t="shared" si="38"/>
        <v>-1748.418213527139</v>
      </c>
      <c r="T37" s="21">
        <f t="shared" si="39"/>
        <v>5.6936148485272016</v>
      </c>
      <c r="U37" s="21">
        <f t="shared" si="40"/>
        <v>746.47591248354399</v>
      </c>
      <c r="V37" s="1"/>
      <c r="W37" s="1"/>
      <c r="X37" s="1"/>
    </row>
    <row r="38" spans="1:24" x14ac:dyDescent="0.25">
      <c r="A38" s="5">
        <v>8</v>
      </c>
      <c r="B38" s="1"/>
      <c r="C38" s="21">
        <v>-11428917.790844245</v>
      </c>
      <c r="D38" s="21">
        <v>-9206343.4258331526</v>
      </c>
      <c r="E38" s="21">
        <v>0</v>
      </c>
      <c r="F38" s="21">
        <v>59193.686530738902</v>
      </c>
      <c r="G38" s="1"/>
      <c r="H38" s="21">
        <f t="shared" si="29"/>
        <v>-3483541</v>
      </c>
      <c r="I38" s="21">
        <f t="shared" si="30"/>
        <v>-2806099</v>
      </c>
      <c r="J38" s="21">
        <f t="shared" si="31"/>
        <v>0</v>
      </c>
      <c r="K38" s="21">
        <f t="shared" si="32"/>
        <v>18042.271170781136</v>
      </c>
      <c r="L38" s="1"/>
      <c r="M38" s="21">
        <f t="shared" si="33"/>
        <v>-3483.5410000000002</v>
      </c>
      <c r="N38" s="21">
        <f t="shared" si="34"/>
        <v>-2806.0990000000002</v>
      </c>
      <c r="O38" s="21">
        <f t="shared" si="35"/>
        <v>0</v>
      </c>
      <c r="P38" s="21">
        <f t="shared" si="36"/>
        <v>18.042271170781135</v>
      </c>
      <c r="Q38" s="1"/>
      <c r="R38" s="21">
        <f t="shared" si="37"/>
        <v>-2164.5684560791551</v>
      </c>
      <c r="S38" s="21">
        <f t="shared" si="38"/>
        <v>-1743.6262067922441</v>
      </c>
      <c r="T38" s="21">
        <f t="shared" si="39"/>
        <v>0</v>
      </c>
      <c r="U38" s="21">
        <f t="shared" si="40"/>
        <v>11.210929066802764</v>
      </c>
      <c r="V38" s="1"/>
      <c r="W38" s="1"/>
      <c r="X38" s="1"/>
    </row>
    <row r="41" spans="1:24" ht="15.75" x14ac:dyDescent="0.25">
      <c r="A41" s="28" t="s">
        <v>67</v>
      </c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</row>
    <row r="42" spans="1:24" x14ac:dyDescent="0.25">
      <c r="A42" s="15" t="s">
        <v>6</v>
      </c>
      <c r="B42" s="16"/>
      <c r="C42" s="15" t="s">
        <v>42</v>
      </c>
      <c r="D42" s="15" t="s">
        <v>43</v>
      </c>
      <c r="E42" s="15" t="s">
        <v>44</v>
      </c>
      <c r="F42" s="20" t="s">
        <v>45</v>
      </c>
      <c r="G42" s="16"/>
      <c r="H42" s="15" t="s">
        <v>27</v>
      </c>
      <c r="I42" s="15" t="s">
        <v>28</v>
      </c>
      <c r="J42" s="15" t="s">
        <v>29</v>
      </c>
      <c r="K42" s="20" t="s">
        <v>30</v>
      </c>
      <c r="L42" s="16"/>
      <c r="M42" s="15" t="s">
        <v>32</v>
      </c>
      <c r="N42" s="15" t="s">
        <v>33</v>
      </c>
      <c r="O42" s="15" t="s">
        <v>38</v>
      </c>
      <c r="P42" s="20" t="s">
        <v>37</v>
      </c>
      <c r="Q42" s="16"/>
      <c r="R42" s="20" t="s">
        <v>35</v>
      </c>
      <c r="S42" s="20" t="s">
        <v>36</v>
      </c>
      <c r="T42" s="15" t="s">
        <v>34</v>
      </c>
      <c r="U42" s="20" t="s">
        <v>39</v>
      </c>
      <c r="V42" s="16"/>
      <c r="W42" s="29" t="s">
        <v>40</v>
      </c>
      <c r="X42" s="29"/>
    </row>
    <row r="43" spans="1:24" x14ac:dyDescent="0.25">
      <c r="A43" s="5">
        <v>0</v>
      </c>
      <c r="B43" s="1"/>
      <c r="C43" s="21">
        <v>1698.336</v>
      </c>
      <c r="D43" s="21">
        <v>-6147.9530000000004</v>
      </c>
      <c r="E43" s="21">
        <v>9.0999999999999998E-2</v>
      </c>
      <c r="F43" s="21">
        <v>0</v>
      </c>
      <c r="G43" s="1"/>
      <c r="H43" s="21">
        <f>C43*$AA$10</f>
        <v>1698336</v>
      </c>
      <c r="I43" s="21">
        <f t="shared" ref="I43:K43" si="41">D43*$AA$10</f>
        <v>-6147953</v>
      </c>
      <c r="J43" s="21">
        <f t="shared" si="41"/>
        <v>91</v>
      </c>
      <c r="K43" s="21">
        <f t="shared" si="41"/>
        <v>0</v>
      </c>
      <c r="L43" s="1"/>
      <c r="M43" s="21">
        <f>C43*$AA$11</f>
        <v>5571957.5355166635</v>
      </c>
      <c r="N43" s="21">
        <f t="shared" ref="N43:P43" si="42">D43*$AA$11</f>
        <v>-20170409.76953458</v>
      </c>
      <c r="O43" s="21">
        <f t="shared" si="42"/>
        <v>298.5558427378424</v>
      </c>
      <c r="P43" s="21">
        <f t="shared" si="42"/>
        <v>0</v>
      </c>
      <c r="Q43" s="1"/>
      <c r="R43" s="21">
        <f>C43*$AA$12</f>
        <v>1055.2970651395849</v>
      </c>
      <c r="S43" s="21">
        <f t="shared" ref="S43:U43" si="43">D43*$AA$12</f>
        <v>-3820.1608854290944</v>
      </c>
      <c r="T43" s="21">
        <f t="shared" si="43"/>
        <v>5.6544778493597389E-2</v>
      </c>
      <c r="U43" s="21">
        <f t="shared" si="43"/>
        <v>0</v>
      </c>
      <c r="V43" s="1"/>
      <c r="W43" s="15" t="s">
        <v>4</v>
      </c>
      <c r="X43" s="21">
        <f>SUM(F43:F51)</f>
        <v>17893.662795540207</v>
      </c>
    </row>
    <row r="44" spans="1:24" x14ac:dyDescent="0.25">
      <c r="A44" s="5">
        <v>1</v>
      </c>
      <c r="B44" s="1"/>
      <c r="C44" s="21">
        <v>1927.1759999999999</v>
      </c>
      <c r="D44" s="21">
        <v>-6134.0940000000001</v>
      </c>
      <c r="E44" s="21">
        <v>51.61</v>
      </c>
      <c r="F44" s="21">
        <v>234.97664743969773</v>
      </c>
      <c r="G44" s="1"/>
      <c r="H44" s="21">
        <f t="shared" ref="H44:H51" si="44">C44*$AA$10</f>
        <v>1927176</v>
      </c>
      <c r="I44" s="21">
        <f t="shared" ref="I44:I51" si="45">D44*$AA$10</f>
        <v>-6134094</v>
      </c>
      <c r="J44" s="21">
        <f t="shared" ref="J44:J51" si="46">E44*$AA$10</f>
        <v>51610</v>
      </c>
      <c r="K44" s="21">
        <f t="shared" ref="K44:K51" si="47">F44*$AA$10</f>
        <v>234976.64743969773</v>
      </c>
      <c r="L44" s="1"/>
      <c r="M44" s="21">
        <f t="shared" ref="M44:M51" si="48">C44*$AA$11</f>
        <v>6322743.4591664197</v>
      </c>
      <c r="N44" s="21">
        <f t="shared" ref="N44:N51" si="49">D44*$AA$11</f>
        <v>-20124940.698935635</v>
      </c>
      <c r="O44" s="21">
        <f t="shared" ref="O44:O51" si="50">E44*$AA$11</f>
        <v>169323.81366703348</v>
      </c>
      <c r="P44" s="21">
        <f t="shared" ref="P44:P51" si="51">F44*$AA$11</f>
        <v>770919.2417590312</v>
      </c>
      <c r="Q44" s="1"/>
      <c r="R44" s="21">
        <f t="shared" ref="R44:R51" si="52">C44*$AA$12</f>
        <v>1197.4916487711762</v>
      </c>
      <c r="S44" s="21">
        <f t="shared" ref="S44:S51" si="53">D44*$AA$12</f>
        <v>-3811.5493020758768</v>
      </c>
      <c r="T44" s="21">
        <f t="shared" ref="T44:T51" si="54">E44*$AA$12</f>
        <v>32.068967231368802</v>
      </c>
      <c r="U44" s="21">
        <f t="shared" ref="U44:U51" si="55">F44*$AA$12</f>
        <v>146.00771956753667</v>
      </c>
      <c r="V44" s="1"/>
      <c r="W44" s="15" t="s">
        <v>41</v>
      </c>
      <c r="X44" s="21">
        <f>SUM(K43:K51)</f>
        <v>17893662.795540206</v>
      </c>
    </row>
    <row r="45" spans="1:24" x14ac:dyDescent="0.25">
      <c r="A45" s="5">
        <v>2</v>
      </c>
      <c r="B45" s="1"/>
      <c r="C45" s="21">
        <v>3525.1559999999999</v>
      </c>
      <c r="D45" s="21">
        <v>-5471.9520000000002</v>
      </c>
      <c r="E45" s="21">
        <v>132.37100000000001</v>
      </c>
      <c r="F45" s="21">
        <v>1731.6161375099853</v>
      </c>
      <c r="G45" s="1"/>
      <c r="H45" s="21">
        <f t="shared" si="44"/>
        <v>3525156</v>
      </c>
      <c r="I45" s="21">
        <f t="shared" si="45"/>
        <v>-5471952</v>
      </c>
      <c r="J45" s="21">
        <f t="shared" si="46"/>
        <v>132371</v>
      </c>
      <c r="K45" s="21">
        <f t="shared" si="47"/>
        <v>1731616.1375099854</v>
      </c>
      <c r="L45" s="1"/>
      <c r="M45" s="21">
        <f t="shared" si="48"/>
        <v>11565449.674311666</v>
      </c>
      <c r="N45" s="21">
        <f t="shared" si="49"/>
        <v>-17952563.085505739</v>
      </c>
      <c r="O45" s="21">
        <f t="shared" si="50"/>
        <v>434287.20284671366</v>
      </c>
      <c r="P45" s="21">
        <f t="shared" si="51"/>
        <v>5681144.1234367173</v>
      </c>
      <c r="Q45" s="1"/>
      <c r="R45" s="21">
        <f t="shared" si="52"/>
        <v>2190.4303865425914</v>
      </c>
      <c r="S45" s="21">
        <f t="shared" si="53"/>
        <v>-3400.1133381054642</v>
      </c>
      <c r="T45" s="21">
        <f t="shared" si="54"/>
        <v>82.251526087648131</v>
      </c>
      <c r="U45" s="21">
        <f t="shared" si="55"/>
        <v>1075.9763838619867</v>
      </c>
      <c r="V45" s="1"/>
      <c r="W45" s="15" t="s">
        <v>53</v>
      </c>
      <c r="X45" s="21">
        <f>SUM(P43:P51)</f>
        <v>58706127.204277851</v>
      </c>
    </row>
    <row r="46" spans="1:24" x14ac:dyDescent="0.25">
      <c r="A46" s="5">
        <v>3</v>
      </c>
      <c r="B46" s="1"/>
      <c r="C46" s="21">
        <v>-4634.768</v>
      </c>
      <c r="D46" s="21">
        <v>457.09899999999999</v>
      </c>
      <c r="E46" s="21">
        <v>173.05100000000002</v>
      </c>
      <c r="F46" s="21">
        <v>10086.60796842908</v>
      </c>
      <c r="G46" s="1"/>
      <c r="H46" s="21">
        <f t="shared" si="44"/>
        <v>-4634768</v>
      </c>
      <c r="I46" s="21">
        <f t="shared" si="45"/>
        <v>457099</v>
      </c>
      <c r="J46" s="21">
        <f t="shared" si="46"/>
        <v>173051.00000000003</v>
      </c>
      <c r="K46" s="21">
        <f t="shared" si="47"/>
        <v>10086607.968429079</v>
      </c>
      <c r="L46" s="1"/>
      <c r="M46" s="21">
        <f t="shared" si="48"/>
        <v>-15205901.825652577</v>
      </c>
      <c r="N46" s="21">
        <f t="shared" si="49"/>
        <v>1499665.6830728026</v>
      </c>
      <c r="O46" s="21">
        <f t="shared" si="50"/>
        <v>567751.50705083925</v>
      </c>
      <c r="P46" s="21">
        <f t="shared" si="51"/>
        <v>33092480.685500886</v>
      </c>
      <c r="Q46" s="1"/>
      <c r="R46" s="21">
        <f t="shared" si="52"/>
        <v>-2879.9113179034439</v>
      </c>
      <c r="S46" s="21">
        <f t="shared" si="53"/>
        <v>284.02815060049312</v>
      </c>
      <c r="T46" s="21">
        <f t="shared" si="54"/>
        <v>107.52890618786289</v>
      </c>
      <c r="U46" s="21">
        <f t="shared" si="55"/>
        <v>6267.5276189733704</v>
      </c>
      <c r="V46" s="1"/>
      <c r="W46" s="15" t="s">
        <v>5</v>
      </c>
      <c r="X46" s="21">
        <f>SUM(U43:U51)</f>
        <v>11118.606584757646</v>
      </c>
    </row>
    <row r="47" spans="1:24" x14ac:dyDescent="0.25">
      <c r="A47" s="5">
        <v>4</v>
      </c>
      <c r="B47" s="1"/>
      <c r="C47" s="21">
        <v>-6287.1689999999999</v>
      </c>
      <c r="D47" s="21">
        <v>161.03399999999999</v>
      </c>
      <c r="E47" s="21">
        <v>157.11799999999999</v>
      </c>
      <c r="F47" s="21">
        <v>1678.7904602763861</v>
      </c>
      <c r="G47" s="1"/>
      <c r="H47" s="21">
        <f t="shared" si="44"/>
        <v>-6287169</v>
      </c>
      <c r="I47" s="21">
        <f t="shared" si="45"/>
        <v>161034</v>
      </c>
      <c r="J47" s="21">
        <f t="shared" si="46"/>
        <v>157118</v>
      </c>
      <c r="K47" s="21">
        <f t="shared" si="47"/>
        <v>1678790.460276386</v>
      </c>
      <c r="L47" s="1"/>
      <c r="M47" s="21">
        <f t="shared" si="48"/>
        <v>-20627154.277255364</v>
      </c>
      <c r="N47" s="21">
        <f t="shared" si="49"/>
        <v>528325.73164226057</v>
      </c>
      <c r="O47" s="21">
        <f t="shared" si="50"/>
        <v>515477.98790422332</v>
      </c>
      <c r="P47" s="21">
        <f t="shared" si="51"/>
        <v>5507831.8752534818</v>
      </c>
      <c r="Q47" s="1"/>
      <c r="R47" s="21">
        <f t="shared" si="52"/>
        <v>-3906.6656973276067</v>
      </c>
      <c r="S47" s="21">
        <f t="shared" si="53"/>
        <v>100.06188857074683</v>
      </c>
      <c r="T47" s="21">
        <f t="shared" si="54"/>
        <v>97.62859898194543</v>
      </c>
      <c r="U47" s="21">
        <f t="shared" si="55"/>
        <v>1043.1520298186006</v>
      </c>
      <c r="V47" s="1"/>
      <c r="W47" s="1"/>
      <c r="X47" s="4"/>
    </row>
    <row r="48" spans="1:24" x14ac:dyDescent="0.25">
      <c r="A48" s="5">
        <v>5</v>
      </c>
      <c r="B48" s="1"/>
      <c r="C48" s="21">
        <v>-5471.2780000000002</v>
      </c>
      <c r="D48" s="21">
        <v>-411.45600000000002</v>
      </c>
      <c r="E48" s="21">
        <v>101.902</v>
      </c>
      <c r="F48" s="21">
        <v>998.23430648169972</v>
      </c>
      <c r="G48" s="1"/>
      <c r="H48" s="21">
        <f t="shared" si="44"/>
        <v>-5471278</v>
      </c>
      <c r="I48" s="21">
        <f t="shared" si="45"/>
        <v>-411456</v>
      </c>
      <c r="J48" s="21">
        <f t="shared" si="46"/>
        <v>101902</v>
      </c>
      <c r="K48" s="21">
        <f t="shared" si="47"/>
        <v>998234.30648169969</v>
      </c>
      <c r="L48" s="1"/>
      <c r="M48" s="21">
        <f t="shared" si="48"/>
        <v>-17950351.803769417</v>
      </c>
      <c r="N48" s="21">
        <f t="shared" si="49"/>
        <v>-1349918.6025224363</v>
      </c>
      <c r="O48" s="21">
        <f t="shared" si="50"/>
        <v>334323.4888645233</v>
      </c>
      <c r="P48" s="21">
        <f t="shared" si="51"/>
        <v>3275040.4903458189</v>
      </c>
      <c r="Q48" s="1"/>
      <c r="R48" s="21">
        <f t="shared" si="52"/>
        <v>-3399.694533921896</v>
      </c>
      <c r="S48" s="21">
        <f t="shared" si="53"/>
        <v>-255.66690527320449</v>
      </c>
      <c r="T48" s="21">
        <f t="shared" si="54"/>
        <v>63.318967231368802</v>
      </c>
      <c r="U48" s="21">
        <f t="shared" si="55"/>
        <v>620.27404115074194</v>
      </c>
      <c r="V48" s="1"/>
      <c r="W48" s="1"/>
      <c r="X48" s="1"/>
    </row>
    <row r="49" spans="1:24" x14ac:dyDescent="0.25">
      <c r="A49" s="5">
        <v>6</v>
      </c>
      <c r="B49" s="1"/>
      <c r="C49" s="21">
        <v>-4420.17</v>
      </c>
      <c r="D49" s="21">
        <v>-2045.8810000000001</v>
      </c>
      <c r="E49" s="21">
        <v>45.488</v>
      </c>
      <c r="F49" s="21">
        <v>1944.0564929252957</v>
      </c>
      <c r="G49" s="1"/>
      <c r="H49" s="21">
        <f t="shared" si="44"/>
        <v>-4420170</v>
      </c>
      <c r="I49" s="21">
        <f t="shared" si="45"/>
        <v>-2045881</v>
      </c>
      <c r="J49" s="21">
        <f t="shared" si="46"/>
        <v>45488</v>
      </c>
      <c r="K49" s="21">
        <f t="shared" si="47"/>
        <v>1944056.4929252958</v>
      </c>
      <c r="L49" s="1"/>
      <c r="M49" s="21">
        <f t="shared" si="48"/>
        <v>-14501841.531808011</v>
      </c>
      <c r="N49" s="21">
        <f t="shared" si="49"/>
        <v>-6712194.7922674706</v>
      </c>
      <c r="O49" s="21">
        <f t="shared" si="50"/>
        <v>149238.55136768107</v>
      </c>
      <c r="P49" s="21">
        <f t="shared" si="51"/>
        <v>6378125.5447833631</v>
      </c>
      <c r="Q49" s="1"/>
      <c r="R49" s="21">
        <f t="shared" si="52"/>
        <v>-2746.5663027916962</v>
      </c>
      <c r="S49" s="21">
        <f t="shared" si="53"/>
        <v>-1271.251516145709</v>
      </c>
      <c r="T49" s="21">
        <f t="shared" si="54"/>
        <v>28.264932792491845</v>
      </c>
      <c r="U49" s="21">
        <f t="shared" si="55"/>
        <v>1207.9807007857212</v>
      </c>
      <c r="V49" s="1"/>
      <c r="W49" s="1"/>
      <c r="X49" s="1"/>
    </row>
    <row r="50" spans="1:24" x14ac:dyDescent="0.25">
      <c r="A50" s="5">
        <v>7</v>
      </c>
      <c r="B50" s="1"/>
      <c r="C50" s="21">
        <v>-3497.0349999999999</v>
      </c>
      <c r="D50" s="21">
        <v>-2813.8110000000001</v>
      </c>
      <c r="E50" s="21">
        <v>9.1630000000000003</v>
      </c>
      <c r="F50" s="21">
        <v>1201.3385113072836</v>
      </c>
      <c r="G50" s="1"/>
      <c r="H50" s="21">
        <f t="shared" si="44"/>
        <v>-3497035</v>
      </c>
      <c r="I50" s="21">
        <f t="shared" si="45"/>
        <v>-2813811</v>
      </c>
      <c r="J50" s="21">
        <f t="shared" si="46"/>
        <v>9163</v>
      </c>
      <c r="K50" s="21">
        <f t="shared" si="47"/>
        <v>1201338.5113072835</v>
      </c>
      <c r="L50" s="1"/>
      <c r="M50" s="21">
        <f t="shared" si="48"/>
        <v>-11473189.357238799</v>
      </c>
      <c r="N50" s="21">
        <f t="shared" si="49"/>
        <v>-9231645.2132968269</v>
      </c>
      <c r="O50" s="21">
        <f t="shared" si="50"/>
        <v>30062.276780295058</v>
      </c>
      <c r="P50" s="21">
        <f t="shared" si="51"/>
        <v>3941391.5566678145</v>
      </c>
      <c r="Q50" s="1"/>
      <c r="R50" s="21">
        <f t="shared" si="52"/>
        <v>-2172.956807245685</v>
      </c>
      <c r="S50" s="21">
        <f t="shared" si="53"/>
        <v>-1748.4210958005249</v>
      </c>
      <c r="T50" s="21">
        <f t="shared" si="54"/>
        <v>5.6936242344706915</v>
      </c>
      <c r="U50" s="21">
        <f t="shared" si="55"/>
        <v>746.47714305163072</v>
      </c>
      <c r="V50" s="1"/>
      <c r="W50" s="1"/>
      <c r="X50" s="1"/>
    </row>
    <row r="51" spans="1:24" x14ac:dyDescent="0.25">
      <c r="A51" s="5">
        <v>8</v>
      </c>
      <c r="B51" s="1"/>
      <c r="C51" s="21">
        <v>-3483.5410000000002</v>
      </c>
      <c r="D51" s="21">
        <v>-2806.0990000000002</v>
      </c>
      <c r="E51" s="21">
        <v>0</v>
      </c>
      <c r="F51" s="21">
        <v>18.042271170781131</v>
      </c>
      <c r="G51" s="1"/>
      <c r="H51" s="21">
        <f t="shared" si="44"/>
        <v>-3483541</v>
      </c>
      <c r="I51" s="21">
        <f t="shared" si="45"/>
        <v>-2806099</v>
      </c>
      <c r="J51" s="21">
        <f t="shared" si="46"/>
        <v>0</v>
      </c>
      <c r="K51" s="21">
        <f t="shared" si="47"/>
        <v>18042.271170781132</v>
      </c>
      <c r="L51" s="1"/>
      <c r="M51" s="21">
        <f t="shared" si="48"/>
        <v>-11428917.790844247</v>
      </c>
      <c r="N51" s="21">
        <f t="shared" si="49"/>
        <v>-9206343.4258331526</v>
      </c>
      <c r="O51" s="21">
        <f t="shared" si="50"/>
        <v>0</v>
      </c>
      <c r="P51" s="21">
        <f t="shared" si="51"/>
        <v>59193.686530738894</v>
      </c>
      <c r="Q51" s="1"/>
      <c r="R51" s="21">
        <f t="shared" si="52"/>
        <v>-2164.5720243776345</v>
      </c>
      <c r="S51" s="21">
        <f t="shared" si="53"/>
        <v>-1743.6290811659906</v>
      </c>
      <c r="T51" s="21">
        <f t="shared" si="54"/>
        <v>0</v>
      </c>
      <c r="U51" s="21">
        <f t="shared" si="55"/>
        <v>11.21094754805755</v>
      </c>
      <c r="V51" s="1"/>
      <c r="W51" s="1"/>
      <c r="X51" s="1"/>
    </row>
    <row r="54" spans="1:24" ht="15.75" x14ac:dyDescent="0.25">
      <c r="A54" s="28" t="s">
        <v>68</v>
      </c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</row>
    <row r="55" spans="1:24" x14ac:dyDescent="0.25">
      <c r="A55" s="15" t="s">
        <v>6</v>
      </c>
      <c r="B55" s="16"/>
      <c r="C55" s="15" t="s">
        <v>35</v>
      </c>
      <c r="D55" s="15" t="s">
        <v>36</v>
      </c>
      <c r="E55" s="15" t="s">
        <v>34</v>
      </c>
      <c r="F55" s="20" t="s">
        <v>39</v>
      </c>
      <c r="G55" s="16"/>
      <c r="H55" s="15" t="s">
        <v>27</v>
      </c>
      <c r="I55" s="15" t="s">
        <v>28</v>
      </c>
      <c r="J55" s="15" t="s">
        <v>29</v>
      </c>
      <c r="K55" s="20" t="s">
        <v>30</v>
      </c>
      <c r="L55" s="16"/>
      <c r="M55" s="15" t="s">
        <v>42</v>
      </c>
      <c r="N55" s="15" t="s">
        <v>43</v>
      </c>
      <c r="O55" s="15" t="s">
        <v>44</v>
      </c>
      <c r="P55" s="20" t="s">
        <v>45</v>
      </c>
      <c r="Q55" s="16"/>
      <c r="R55" s="15" t="s">
        <v>32</v>
      </c>
      <c r="S55" s="15" t="s">
        <v>33</v>
      </c>
      <c r="T55" s="15" t="s">
        <v>38</v>
      </c>
      <c r="U55" s="20" t="s">
        <v>37</v>
      </c>
      <c r="V55" s="16"/>
      <c r="W55" s="29" t="s">
        <v>40</v>
      </c>
      <c r="X55" s="29"/>
    </row>
    <row r="56" spans="1:24" x14ac:dyDescent="0.25">
      <c r="A56" s="5">
        <v>0</v>
      </c>
      <c r="B56" s="1"/>
      <c r="C56" s="21">
        <v>1055.2970651395847</v>
      </c>
      <c r="D56" s="21">
        <v>-3820.1608854290939</v>
      </c>
      <c r="E56" s="21">
        <v>5.6544778493597389E-2</v>
      </c>
      <c r="F56" s="21">
        <v>0</v>
      </c>
      <c r="G56" s="1"/>
      <c r="H56" s="21">
        <f>C56*$AA$14</f>
        <v>1698335.9999999998</v>
      </c>
      <c r="I56" s="21">
        <f t="shared" ref="I56:K56" si="56">D56*$AA$14</f>
        <v>-6147953</v>
      </c>
      <c r="J56" s="21">
        <f t="shared" si="56"/>
        <v>91</v>
      </c>
      <c r="K56" s="21">
        <f t="shared" si="56"/>
        <v>0</v>
      </c>
      <c r="L56" s="1"/>
      <c r="M56" s="21">
        <f>C56*$AA$16</f>
        <v>1698.3359999999998</v>
      </c>
      <c r="N56" s="21">
        <f t="shared" ref="N56:P56" si="57">D56*$AA$16</f>
        <v>-6147.9530000000004</v>
      </c>
      <c r="O56" s="21">
        <f t="shared" si="57"/>
        <v>9.0999999999999998E-2</v>
      </c>
      <c r="P56" s="21">
        <f t="shared" si="57"/>
        <v>0</v>
      </c>
      <c r="Q56" s="1"/>
      <c r="R56" s="21">
        <f>C56*$AA$15</f>
        <v>5571966.7209076565</v>
      </c>
      <c r="S56" s="21">
        <f t="shared" ref="S56:U56" si="58">D56*$AA$15</f>
        <v>-20170443.02052385</v>
      </c>
      <c r="T56" s="21">
        <f t="shared" si="58"/>
        <v>298.55633490816706</v>
      </c>
      <c r="U56" s="21">
        <f t="shared" si="58"/>
        <v>0</v>
      </c>
      <c r="V56" s="1"/>
      <c r="W56" s="15" t="s">
        <v>4</v>
      </c>
      <c r="X56" s="21">
        <f>SUM(F56:F64)</f>
        <v>11118.606584757645</v>
      </c>
    </row>
    <row r="57" spans="1:24" x14ac:dyDescent="0.25">
      <c r="A57" s="5">
        <v>1</v>
      </c>
      <c r="B57" s="1"/>
      <c r="C57" s="21">
        <v>1197.4916487711762</v>
      </c>
      <c r="D57" s="21">
        <v>-3811.5493020758768</v>
      </c>
      <c r="E57" s="21">
        <v>32.068967231368802</v>
      </c>
      <c r="F57" s="21">
        <v>146.00771956753667</v>
      </c>
      <c r="G57" s="1"/>
      <c r="H57" s="21">
        <f t="shared" ref="H57:H64" si="59">C57*$AA$14</f>
        <v>1927175.9999999998</v>
      </c>
      <c r="I57" s="21">
        <f t="shared" ref="I57:I64" si="60">D57*$AA$14</f>
        <v>-6134094</v>
      </c>
      <c r="J57" s="21">
        <f t="shared" ref="J57:J64" si="61">E57*$AA$14</f>
        <v>51609.999999999993</v>
      </c>
      <c r="K57" s="21">
        <f t="shared" ref="K57:K64" si="62">F57*$AA$14</f>
        <v>234976.64743969773</v>
      </c>
      <c r="L57" s="1"/>
      <c r="M57" s="21">
        <f t="shared" ref="M57:M64" si="63">C57*$AA$16</f>
        <v>1927.1759999999999</v>
      </c>
      <c r="N57" s="21">
        <f t="shared" ref="N57:N64" si="64">D57*$AA$16</f>
        <v>-6134.0940000000001</v>
      </c>
      <c r="O57" s="21">
        <f t="shared" ref="O57:O64" si="65">E57*$AA$16</f>
        <v>51.61</v>
      </c>
      <c r="P57" s="21">
        <f t="shared" ref="P57:P64" si="66">F57*$AA$16</f>
        <v>234.97664743969776</v>
      </c>
      <c r="Q57" s="1"/>
      <c r="R57" s="21">
        <f t="shared" ref="R57:R64" si="67">C57*$AA$15</f>
        <v>6322753.8822305677</v>
      </c>
      <c r="S57" s="21">
        <f t="shared" ref="S57:S64" si="68">D57*$AA$15</f>
        <v>-20124973.874968987</v>
      </c>
      <c r="T57" s="21">
        <f t="shared" ref="T57:T64" si="69">E57*$AA$15</f>
        <v>169324.09279791758</v>
      </c>
      <c r="U57" s="21">
        <f t="shared" ref="U57:U64" si="70">F57*$AA$15</f>
        <v>770920.51262202952</v>
      </c>
      <c r="V57" s="1"/>
      <c r="W57" s="15" t="s">
        <v>41</v>
      </c>
      <c r="X57" s="21">
        <f>SUM(K56:K64)</f>
        <v>17893662.795540206</v>
      </c>
    </row>
    <row r="58" spans="1:24" x14ac:dyDescent="0.25">
      <c r="A58" s="5">
        <v>2</v>
      </c>
      <c r="B58" s="1"/>
      <c r="C58" s="21">
        <v>2190.4303865425909</v>
      </c>
      <c r="D58" s="21">
        <v>-3400.1133381054638</v>
      </c>
      <c r="E58" s="21">
        <v>82.251526087648131</v>
      </c>
      <c r="F58" s="21">
        <v>1075.9763838619865</v>
      </c>
      <c r="G58" s="1"/>
      <c r="H58" s="21">
        <f t="shared" si="59"/>
        <v>3525155.9999999995</v>
      </c>
      <c r="I58" s="21">
        <f t="shared" si="60"/>
        <v>-5471952</v>
      </c>
      <c r="J58" s="21">
        <f t="shared" si="61"/>
        <v>132371</v>
      </c>
      <c r="K58" s="21">
        <f t="shared" si="62"/>
        <v>1731616.1375099849</v>
      </c>
      <c r="L58" s="1"/>
      <c r="M58" s="21">
        <f t="shared" si="63"/>
        <v>3525.1559999999995</v>
      </c>
      <c r="N58" s="21">
        <f t="shared" si="64"/>
        <v>-5471.9520000000002</v>
      </c>
      <c r="O58" s="21">
        <f t="shared" si="65"/>
        <v>132.37100000000001</v>
      </c>
      <c r="P58" s="21">
        <f t="shared" si="66"/>
        <v>1731.616137509985</v>
      </c>
      <c r="Q58" s="1"/>
      <c r="R58" s="21">
        <f t="shared" si="67"/>
        <v>11565468.739994884</v>
      </c>
      <c r="S58" s="21">
        <f t="shared" si="68"/>
        <v>-17952592.68036719</v>
      </c>
      <c r="T58" s="21">
        <f t="shared" si="69"/>
        <v>434287.91877064813</v>
      </c>
      <c r="U58" s="21">
        <f t="shared" si="70"/>
        <v>5681153.4888221724</v>
      </c>
      <c r="V58" s="1"/>
      <c r="W58" s="15" t="s">
        <v>53</v>
      </c>
      <c r="X58" s="21">
        <f>SUM(P56:P64)</f>
        <v>17893.662795540207</v>
      </c>
    </row>
    <row r="59" spans="1:24" x14ac:dyDescent="0.25">
      <c r="A59" s="5">
        <v>3</v>
      </c>
      <c r="B59" s="1"/>
      <c r="C59" s="21">
        <v>-2879.9113179034434</v>
      </c>
      <c r="D59" s="21">
        <v>284.02815060049312</v>
      </c>
      <c r="E59" s="21">
        <v>107.52890618786287</v>
      </c>
      <c r="F59" s="21">
        <v>6267.5276189733695</v>
      </c>
      <c r="G59" s="1"/>
      <c r="H59" s="21">
        <f t="shared" si="59"/>
        <v>-4634767.9999999991</v>
      </c>
      <c r="I59" s="21">
        <f t="shared" si="60"/>
        <v>457099</v>
      </c>
      <c r="J59" s="21">
        <f t="shared" si="61"/>
        <v>173051</v>
      </c>
      <c r="K59" s="21">
        <f t="shared" si="62"/>
        <v>10086607.968429079</v>
      </c>
      <c r="L59" s="1"/>
      <c r="M59" s="21">
        <f t="shared" si="63"/>
        <v>-4634.768</v>
      </c>
      <c r="N59" s="21">
        <f t="shared" si="64"/>
        <v>457.09900000000005</v>
      </c>
      <c r="O59" s="21">
        <f t="shared" si="65"/>
        <v>173.05099999999999</v>
      </c>
      <c r="P59" s="21">
        <f t="shared" si="66"/>
        <v>10086.60796842908</v>
      </c>
      <c r="Q59" s="1"/>
      <c r="R59" s="21">
        <f t="shared" si="67"/>
        <v>-15205926.892633576</v>
      </c>
      <c r="S59" s="21">
        <f t="shared" si="68"/>
        <v>1499668.155276794</v>
      </c>
      <c r="T59" s="21">
        <f t="shared" si="69"/>
        <v>567752.44299113424</v>
      </c>
      <c r="U59" s="21">
        <f t="shared" si="70"/>
        <v>33092535.238568112</v>
      </c>
      <c r="V59" s="1"/>
      <c r="W59" s="15" t="s">
        <v>5</v>
      </c>
      <c r="X59" s="21">
        <f>SUM(U56:U64)</f>
        <v>58706223.981528692</v>
      </c>
    </row>
    <row r="60" spans="1:24" x14ac:dyDescent="0.25">
      <c r="A60" s="5">
        <v>4</v>
      </c>
      <c r="B60" s="1"/>
      <c r="C60" s="21">
        <v>-3906.6656973276063</v>
      </c>
      <c r="D60" s="21">
        <v>100.06188857074683</v>
      </c>
      <c r="E60" s="21">
        <v>97.62859898194543</v>
      </c>
      <c r="F60" s="21">
        <v>1043.1520298186006</v>
      </c>
      <c r="G60" s="1"/>
      <c r="H60" s="21">
        <f t="shared" si="59"/>
        <v>-6287168.9999999991</v>
      </c>
      <c r="I60" s="21">
        <f t="shared" si="60"/>
        <v>161034</v>
      </c>
      <c r="J60" s="21">
        <f t="shared" si="61"/>
        <v>157118</v>
      </c>
      <c r="K60" s="21">
        <f t="shared" si="62"/>
        <v>1678790.460276386</v>
      </c>
      <c r="L60" s="1"/>
      <c r="M60" s="21">
        <f t="shared" si="63"/>
        <v>-6287.1689999999999</v>
      </c>
      <c r="N60" s="21">
        <f t="shared" si="64"/>
        <v>161.03399999999999</v>
      </c>
      <c r="O60" s="21">
        <f t="shared" si="65"/>
        <v>157.11799999999999</v>
      </c>
      <c r="P60" s="21">
        <f t="shared" si="66"/>
        <v>1678.7904602763861</v>
      </c>
      <c r="Q60" s="1"/>
      <c r="R60" s="21">
        <f t="shared" si="67"/>
        <v>-20627188.281189509</v>
      </c>
      <c r="S60" s="21">
        <f t="shared" si="68"/>
        <v>528326.6025890304</v>
      </c>
      <c r="T60" s="21">
        <f t="shared" si="69"/>
        <v>515478.83767144382</v>
      </c>
      <c r="U60" s="21">
        <f t="shared" si="70"/>
        <v>5507840.954933105</v>
      </c>
      <c r="V60" s="1"/>
      <c r="W60" s="1"/>
      <c r="X60" s="4"/>
    </row>
    <row r="61" spans="1:24" x14ac:dyDescent="0.25">
      <c r="A61" s="5">
        <v>5</v>
      </c>
      <c r="B61" s="1"/>
      <c r="C61" s="21">
        <v>-3399.694533921896</v>
      </c>
      <c r="D61" s="21">
        <v>-255.66690527320446</v>
      </c>
      <c r="E61" s="21">
        <v>63.318967231368802</v>
      </c>
      <c r="F61" s="21">
        <v>620.27404115074194</v>
      </c>
      <c r="G61" s="1"/>
      <c r="H61" s="21">
        <f t="shared" si="59"/>
        <v>-5471278</v>
      </c>
      <c r="I61" s="21">
        <f t="shared" si="60"/>
        <v>-411456</v>
      </c>
      <c r="J61" s="21">
        <f t="shared" si="61"/>
        <v>101902</v>
      </c>
      <c r="K61" s="21">
        <f t="shared" si="62"/>
        <v>998234.30648169969</v>
      </c>
      <c r="L61" s="1"/>
      <c r="M61" s="21">
        <f t="shared" si="63"/>
        <v>-5471.2780000000002</v>
      </c>
      <c r="N61" s="21">
        <f t="shared" si="64"/>
        <v>-411.45600000000002</v>
      </c>
      <c r="O61" s="21">
        <f t="shared" si="65"/>
        <v>101.902</v>
      </c>
      <c r="P61" s="21">
        <f t="shared" si="66"/>
        <v>998.23430648169972</v>
      </c>
      <c r="Q61" s="1"/>
      <c r="R61" s="21">
        <f t="shared" si="67"/>
        <v>-17950381.394985564</v>
      </c>
      <c r="S61" s="21">
        <f t="shared" si="68"/>
        <v>-1349920.8278678546</v>
      </c>
      <c r="T61" s="21">
        <f t="shared" si="69"/>
        <v>334324.03999793448</v>
      </c>
      <c r="U61" s="21">
        <f t="shared" si="70"/>
        <v>3275045.8892612327</v>
      </c>
      <c r="V61" s="1"/>
      <c r="W61" s="1"/>
      <c r="X61" s="1"/>
    </row>
    <row r="62" spans="1:24" x14ac:dyDescent="0.25">
      <c r="A62" s="5">
        <v>6</v>
      </c>
      <c r="B62" s="1"/>
      <c r="C62" s="21">
        <v>-2746.5663027916962</v>
      </c>
      <c r="D62" s="21">
        <v>-1271.251516145709</v>
      </c>
      <c r="E62" s="21">
        <v>28.264932792491845</v>
      </c>
      <c r="F62" s="21">
        <v>1207.980700785721</v>
      </c>
      <c r="G62" s="1"/>
      <c r="H62" s="21">
        <f t="shared" si="59"/>
        <v>-4420170</v>
      </c>
      <c r="I62" s="21">
        <f t="shared" si="60"/>
        <v>-2045881</v>
      </c>
      <c r="J62" s="21">
        <f t="shared" si="61"/>
        <v>45488</v>
      </c>
      <c r="K62" s="21">
        <f t="shared" si="62"/>
        <v>1944056.4929252954</v>
      </c>
      <c r="L62" s="1"/>
      <c r="M62" s="21">
        <f t="shared" si="63"/>
        <v>-4420.17</v>
      </c>
      <c r="N62" s="21">
        <f t="shared" si="64"/>
        <v>-2045.8810000000001</v>
      </c>
      <c r="O62" s="21">
        <f t="shared" si="65"/>
        <v>45.488</v>
      </c>
      <c r="P62" s="21">
        <f t="shared" si="66"/>
        <v>1944.0564929252955</v>
      </c>
      <c r="Q62" s="1"/>
      <c r="R62" s="21">
        <f t="shared" si="67"/>
        <v>-14501865.438143216</v>
      </c>
      <c r="S62" s="21">
        <f t="shared" si="68"/>
        <v>-6712205.8573434688</v>
      </c>
      <c r="T62" s="21">
        <f t="shared" si="69"/>
        <v>149238.79738794177</v>
      </c>
      <c r="U62" s="21">
        <f t="shared" si="70"/>
        <v>6378136.0591450678</v>
      </c>
      <c r="V62" s="1"/>
      <c r="W62" s="1"/>
      <c r="X62" s="1"/>
    </row>
    <row r="63" spans="1:24" x14ac:dyDescent="0.25">
      <c r="A63" s="5">
        <v>7</v>
      </c>
      <c r="B63" s="1"/>
      <c r="C63" s="21">
        <v>-2172.956807245685</v>
      </c>
      <c r="D63" s="21">
        <v>-1748.4210958005249</v>
      </c>
      <c r="E63" s="21">
        <v>5.6936242344706907</v>
      </c>
      <c r="F63" s="21">
        <v>746.47714305163061</v>
      </c>
      <c r="G63" s="1"/>
      <c r="H63" s="21">
        <f t="shared" si="59"/>
        <v>-3497035</v>
      </c>
      <c r="I63" s="21">
        <f t="shared" si="60"/>
        <v>-2813811</v>
      </c>
      <c r="J63" s="21">
        <f t="shared" si="61"/>
        <v>9163</v>
      </c>
      <c r="K63" s="21">
        <f t="shared" si="62"/>
        <v>1201338.5113072835</v>
      </c>
      <c r="L63" s="1"/>
      <c r="M63" s="21">
        <f t="shared" si="63"/>
        <v>-3497.0349999999999</v>
      </c>
      <c r="N63" s="21">
        <f t="shared" si="64"/>
        <v>-2813.8110000000001</v>
      </c>
      <c r="O63" s="21">
        <f t="shared" si="65"/>
        <v>9.1630000000000003</v>
      </c>
      <c r="P63" s="21">
        <f t="shared" si="66"/>
        <v>1201.3385113072834</v>
      </c>
      <c r="Q63" s="1"/>
      <c r="R63" s="21">
        <f t="shared" si="67"/>
        <v>-11473208.27083057</v>
      </c>
      <c r="S63" s="21">
        <f t="shared" si="68"/>
        <v>-9231660.4316954333</v>
      </c>
      <c r="T63" s="21">
        <f t="shared" si="69"/>
        <v>30062.326338060819</v>
      </c>
      <c r="U63" s="21">
        <f t="shared" si="70"/>
        <v>3941398.0540652322</v>
      </c>
      <c r="V63" s="1"/>
      <c r="W63" s="1"/>
      <c r="X63" s="1"/>
    </row>
    <row r="64" spans="1:24" x14ac:dyDescent="0.25">
      <c r="A64" s="5">
        <v>8</v>
      </c>
      <c r="B64" s="1"/>
      <c r="C64" s="21">
        <v>-2164.5720243776345</v>
      </c>
      <c r="D64" s="21">
        <v>-1743.6290811659906</v>
      </c>
      <c r="E64" s="21">
        <v>0</v>
      </c>
      <c r="F64" s="21">
        <v>11.21094754805755</v>
      </c>
      <c r="G64" s="1"/>
      <c r="H64" s="21">
        <f t="shared" si="59"/>
        <v>-3483541</v>
      </c>
      <c r="I64" s="21">
        <f t="shared" si="60"/>
        <v>-2806099</v>
      </c>
      <c r="J64" s="21">
        <f t="shared" si="61"/>
        <v>0</v>
      </c>
      <c r="K64" s="21">
        <f t="shared" si="62"/>
        <v>18042.271170781132</v>
      </c>
      <c r="L64" s="1"/>
      <c r="M64" s="21">
        <f t="shared" si="63"/>
        <v>-3483.5410000000002</v>
      </c>
      <c r="N64" s="21">
        <f t="shared" si="64"/>
        <v>-2806.0990000000002</v>
      </c>
      <c r="O64" s="21">
        <f t="shared" si="65"/>
        <v>0</v>
      </c>
      <c r="P64" s="21">
        <f t="shared" si="66"/>
        <v>18.042271170781131</v>
      </c>
      <c r="Q64" s="1"/>
      <c r="R64" s="21">
        <f t="shared" si="67"/>
        <v>-11428936.631454188</v>
      </c>
      <c r="S64" s="21">
        <f t="shared" si="68"/>
        <v>-9206358.6025216766</v>
      </c>
      <c r="T64" s="21">
        <f t="shared" si="69"/>
        <v>0</v>
      </c>
      <c r="U64" s="21">
        <f t="shared" si="70"/>
        <v>59193.784111732952</v>
      </c>
      <c r="V64" s="1"/>
      <c r="W64" s="1"/>
      <c r="X64" s="1"/>
    </row>
  </sheetData>
  <mergeCells count="18">
    <mergeCell ref="A41:X41"/>
    <mergeCell ref="W42:X42"/>
    <mergeCell ref="A54:X54"/>
    <mergeCell ref="W55:X55"/>
    <mergeCell ref="A28:X28"/>
    <mergeCell ref="W29:X29"/>
    <mergeCell ref="W16:X16"/>
    <mergeCell ref="P2:R2"/>
    <mergeCell ref="T2:T3"/>
    <mergeCell ref="S2:S3"/>
    <mergeCell ref="U2:U3"/>
    <mergeCell ref="A15:X15"/>
    <mergeCell ref="C2:F2"/>
    <mergeCell ref="M2:O2"/>
    <mergeCell ref="A2:A3"/>
    <mergeCell ref="B2:B3"/>
    <mergeCell ref="K2:L2"/>
    <mergeCell ref="G2:J2"/>
  </mergeCells>
  <pageMargins left="0.7" right="0.7" top="0.75" bottom="0.75" header="0.3" footer="0.3"/>
  <pageSetup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UnitConversion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McCain, Mathew</dc:creator>
  <cp:lastModifiedBy>Joel Parkins</cp:lastModifiedBy>
  <dcterms:created xsi:type="dcterms:W3CDTF">2017-05-18T20:17:44Z</dcterms:created>
  <dcterms:modified xsi:type="dcterms:W3CDTF">2017-05-24T21:38:06Z</dcterms:modified>
</cp:coreProperties>
</file>